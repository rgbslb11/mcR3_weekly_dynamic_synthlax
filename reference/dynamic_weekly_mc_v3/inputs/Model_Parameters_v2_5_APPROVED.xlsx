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00_CONTROL_V2" sheetId="1" state="visible" r:id="rId1"/>
    <sheet xmlns:r="http://schemas.openxmlformats.org/officeDocument/2006/relationships" name="01_SOURCE_REGISTER" sheetId="2" state="visible" r:id="rId2"/>
    <sheet xmlns:r="http://schemas.openxmlformats.org/officeDocument/2006/relationships" name="02_PARAMETER_REGISTER" sheetId="3" state="visible" r:id="rId3"/>
    <sheet xmlns:r="http://schemas.openxmlformats.org/officeDocument/2006/relationships" name="03_SCHEDULE_V4" sheetId="4" state="visible" r:id="rId4"/>
    <sheet xmlns:r="http://schemas.openxmlformats.org/officeDocument/2006/relationships" name="04_CCG_RULES" sheetId="5" state="visible" r:id="rId5"/>
    <sheet xmlns:r="http://schemas.openxmlformats.org/officeDocument/2006/relationships" name="05_TV_RULINGS" sheetId="6" state="visible" r:id="rId6"/>
    <sheet xmlns:r="http://schemas.openxmlformats.org/officeDocument/2006/relationships" name="06_TV_OPEN_ITEMS" sheetId="7" state="visible" r:id="rId7"/>
    <sheet xmlns:r="http://schemas.openxmlformats.org/officeDocument/2006/relationships" name="07_TV_WINDOW_GRID" sheetId="8" state="visible" r:id="rId8"/>
    <sheet xmlns:r="http://schemas.openxmlformats.org/officeDocument/2006/relationships" name="08_BOARD_IH_TOP25" sheetId="9" state="visible" r:id="rId9"/>
    <sheet xmlns:r="http://schemas.openxmlformats.org/officeDocument/2006/relationships" name="09_TEAM_MASTER_QA" sheetId="10" state="visible" r:id="rId10"/>
    <sheet xmlns:r="http://schemas.openxmlformats.org/officeDocument/2006/relationships" name="10_ARTIFACT_LINEAGE" sheetId="11" state="visible" r:id="rId11"/>
    <sheet xmlns:r="http://schemas.openxmlformats.org/officeDocument/2006/relationships" name="11_VALIDATION_REGISTER" sheetId="12" state="visible" r:id="rId12"/>
    <sheet xmlns:r="http://schemas.openxmlformats.org/officeDocument/2006/relationships" name="12_OPEN_ITEMS" sheetId="13" state="visible" r:id="rId13"/>
    <sheet xmlns:r="http://schemas.openxmlformats.org/officeDocument/2006/relationships" name="13_SUPERSESSION_LOG" sheetId="14" state="visible" r:id="rId14"/>
    <sheet xmlns:r="http://schemas.openxmlformats.org/officeDocument/2006/relationships" name="14_RATIFICATION" sheetId="15" state="visible" r:id="rId15"/>
    <sheet xmlns:r="http://schemas.openxmlformats.org/officeDocument/2006/relationships" name="15_CHANGE_LOG_V2" sheetId="16" state="visible" r:id="rId16"/>
    <sheet xmlns:r="http://schemas.openxmlformats.org/officeDocument/2006/relationships" name="16_REJECTED_ITEMS" sheetId="17" state="visible" r:id="rId17"/>
    <sheet xmlns:r="http://schemas.openxmlformats.org/officeDocument/2006/relationships" name="17_V3_COMEBACK_RESEARCH" sheetId="18" state="visible" r:id="rId18"/>
    <sheet xmlns:r="http://schemas.openxmlformats.org/officeDocument/2006/relationships" name="18_ACC_POLICY_REFERENCE" sheetId="19" state="visible" r:id="rId19"/>
    <sheet xmlns:r="http://schemas.openxmlformats.org/officeDocument/2006/relationships" name="CONTROL" sheetId="20" state="visible" r:id="rId20"/>
    <sheet xmlns:r="http://schemas.openxmlformats.org/officeDocument/2006/relationships" name="20_CANON_MANIFEST_INGEST" sheetId="21" state="visible" r:id="rId21"/>
    <sheet xmlns:r="http://schemas.openxmlformats.org/officeDocument/2006/relationships" name="ENGINE_PARAMS" sheetId="22" state="visible" r:id="rId22"/>
    <sheet xmlns:r="http://schemas.openxmlformats.org/officeDocument/2006/relationships" name="CALIBRATION" sheetId="23" state="visible" r:id="rId23"/>
    <sheet xmlns:r="http://schemas.openxmlformats.org/officeDocument/2006/relationships" name="OT_RULES" sheetId="24" state="visible" r:id="rId24"/>
    <sheet xmlns:r="http://schemas.openxmlformats.org/officeDocument/2006/relationships" name="COMMITTEE" sheetId="25" state="visible" r:id="rId25"/>
    <sheet xmlns:r="http://schemas.openxmlformats.org/officeDocument/2006/relationships" name="CHANGE_LOG" sheetId="26" state="visible" r:id="rId26"/>
    <sheet xmlns:r="http://schemas.openxmlformats.org/officeDocument/2006/relationships" name="19_SCHEDULE_V5_CHANGE" sheetId="27" state="visible" r:id="rId27"/>
  </sheets>
  <definedNames>
    <definedName name="_xlnm._FilterDatabase" localSheetId="0" hidden="1">'00_CONTROL_V2'!$A$2:$F$11</definedName>
    <definedName name="_xlnm.Print_Titles" localSheetId="0">'00_CONTROL_V2'!$1:$2</definedName>
    <definedName name="_xlnm._FilterDatabase" localSheetId="1" hidden="1">'01_SOURCE_REGISTER'!$A$2:$J$22</definedName>
    <definedName name="_xlnm.Print_Titles" localSheetId="1">'01_SOURCE_REGISTER'!$1:$2</definedName>
    <definedName name="_xlnm._FilterDatabase" localSheetId="2" hidden="1">'02_PARAMETER_REGISTER'!$A$2:$P$41</definedName>
    <definedName name="_xlnm.Print_Titles" localSheetId="2">'02_PARAMETER_REGISTER'!$1:$2</definedName>
    <definedName name="_xlnm._FilterDatabase" localSheetId="3" hidden="1">'03_SCHEDULE_V4'!$A$2:$M$11</definedName>
    <definedName name="_xlnm.Print_Titles" localSheetId="3">'03_SCHEDULE_V4'!$1:$2</definedName>
    <definedName name="_xlnm._FilterDatabase" localSheetId="4" hidden="1">'04_CCG_RULES'!$A$2:$H$16</definedName>
    <definedName name="_xlnm.Print_Titles" localSheetId="4">'04_CCG_RULES'!$1:$2</definedName>
    <definedName name="_xlnm._FilterDatabase" localSheetId="5" hidden="1">'05_TV_RULINGS'!$A$2:$E$22</definedName>
    <definedName name="_xlnm.Print_Titles" localSheetId="5">'05_TV_RULINGS'!$1:$2</definedName>
    <definedName name="_xlnm._FilterDatabase" localSheetId="6" hidden="1">'06_TV_OPEN_ITEMS'!$A$2:$F$15</definedName>
    <definedName name="_xlnm.Print_Titles" localSheetId="6">'06_TV_OPEN_ITEMS'!$1:$2</definedName>
    <definedName name="_xlnm._FilterDatabase" localSheetId="7" hidden="1">'07_TV_WINDOW_GRID'!$A$2:$F$24</definedName>
    <definedName name="_xlnm.Print_Titles" localSheetId="7">'07_TV_WINDOW_GRID'!$1:$2</definedName>
    <definedName name="_xlnm._FilterDatabase" localSheetId="8" hidden="1">'08_BOARD_IH_TOP25'!$A$2:$P$27</definedName>
    <definedName name="_xlnm.Print_Titles" localSheetId="8">'08_BOARD_IH_TOP25'!$1:$2</definedName>
    <definedName name="_xlnm._FilterDatabase" localSheetId="9" hidden="1">'09_TEAM_MASTER_QA'!$A$2:$G$10</definedName>
    <definedName name="_xlnm.Print_Titles" localSheetId="9">'09_TEAM_MASTER_QA'!$1:$2</definedName>
    <definedName name="_xlnm._FilterDatabase" localSheetId="10" hidden="1">'10_ARTIFACT_LINEAGE'!$A$2:$N$28</definedName>
    <definedName name="_xlnm.Print_Titles" localSheetId="10">'10_ARTIFACT_LINEAGE'!$1:$2</definedName>
    <definedName name="_xlnm._FilterDatabase" localSheetId="11" hidden="1">'11_VALIDATION_REGISTER'!$A$1:$I$19</definedName>
    <definedName name="_xlnm.Print_Titles" localSheetId="11">'11_VALIDATION_REGISTER'!$1:$2</definedName>
    <definedName name="_xlnm._FilterDatabase" localSheetId="12" hidden="1">'12_OPEN_ITEMS'!$A$1:$J$15</definedName>
    <definedName name="_xlnm.Print_Titles" localSheetId="12">'12_OPEN_ITEMS'!$1:$2</definedName>
    <definedName name="_xlnm._FilterDatabase" localSheetId="13" hidden="1">'13_SUPERSESSION_LOG'!$A$2:$J$17</definedName>
    <definedName name="_xlnm.Print_Titles" localSheetId="13">'13_SUPERSESSION_LOG'!$1:$2</definedName>
    <definedName name="_xlnm._FilterDatabase" localSheetId="14" hidden="1">'14_RATIFICATION'!$A$1:$K$7</definedName>
    <definedName name="_xlnm.Print_Titles" localSheetId="14">'14_RATIFICATION'!$1:$2</definedName>
    <definedName name="_xlnm._FilterDatabase" localSheetId="15" hidden="1">'15_CHANGE_LOG_V2'!$A$2:$G$14</definedName>
    <definedName name="_xlnm.Print_Titles" localSheetId="15">'15_CHANGE_LOG_V2'!$1:$2</definedName>
    <definedName name="_xlnm._FilterDatabase" localSheetId="16" hidden="1">'16_REJECTED_ITEMS'!$A$2:$G$25</definedName>
    <definedName name="_xlnm._FilterDatabase" localSheetId="17" hidden="1">'17_V3_COMEBACK_RESEARCH'!$A$2:$H$14</definedName>
    <definedName name="_xlnm._FilterDatabase" localSheetId="18" hidden="1">'18_ACC_POLICY_REFERENCE'!$A$2:$H$14</definedName>
    <definedName name="_xlnm._FilterDatabase" localSheetId="20" hidden="1">'20_CANON_MANIFEST_INGEST'!$A$4:$H$24</definedName>
  </definedNames>
  <calcPr calcId="124519" calcMode="auto" fullCalcOnLoad="1" refMode="A1" iterate="0" iterateCount="100" iterateDelta="0.0001" forceFullCalc="1"/>
</workbook>
</file>

<file path=xl/styles.xml><?xml version="1.0" encoding="utf-8"?>
<styleSheet xmlns="http://schemas.openxmlformats.org/spreadsheetml/2006/main">
  <numFmts count="2">
    <numFmt numFmtId="164" formatCode="0.000"/>
    <numFmt numFmtId="165" formatCode="0.000000"/>
  </numFmts>
  <fonts count="21">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3"/>
    </font>
    <font>
      <name val="Arial"/>
      <charset val="1"/>
      <family val="0"/>
      <b val="1"/>
      <color rgb="FF000000"/>
      <sz val="10"/>
    </font>
    <font>
      <name val="Arial"/>
      <charset val="1"/>
      <family val="0"/>
      <color rgb="FF000000"/>
      <sz val="10"/>
    </font>
    <font>
      <name val="Arial"/>
      <charset val="1"/>
      <family val="0"/>
      <b val="1"/>
      <color rgb="FFFFFFFF"/>
      <sz val="10"/>
    </font>
    <font>
      <name val="Courier New"/>
      <charset val="1"/>
      <family val="0"/>
      <b val="1"/>
      <color rgb="FF000000"/>
      <sz val="10"/>
    </font>
    <font>
      <name val="Arial"/>
      <charset val="1"/>
      <family val="0"/>
      <color rgb="FF0000FF"/>
      <sz val="10"/>
    </font>
    <font>
      <name val="Courier New"/>
      <charset val="1"/>
      <family val="0"/>
      <color rgb="FF000000"/>
      <sz val="10"/>
    </font>
    <font>
      <name val="Arial"/>
      <charset val="1"/>
      <family val="0"/>
      <b val="1"/>
      <color rgb="FF1B6E20"/>
      <sz val="10"/>
    </font>
    <font>
      <name val="Arial"/>
      <charset val="1"/>
      <family val="0"/>
      <b val="1"/>
      <color rgb="FFB00000"/>
      <sz val="10"/>
    </font>
    <font>
      <name val="Aptos Display"/>
      <b val="1"/>
      <color rgb="00FFFFFF"/>
      <sz val="16"/>
    </font>
    <font>
      <b val="1"/>
      <color rgb="00FFFFFF"/>
    </font>
    <font>
      <b val="1"/>
    </font>
    <font>
      <color rgb="000000FF"/>
    </font>
    <font>
      <b val="1"/>
      <color rgb="00FFFFFF"/>
      <sz val="12"/>
    </font>
    <font>
      <b val="1"/>
      <color rgb="00FFFFFF"/>
      <sz val="13"/>
    </font>
    <font>
      <b val="1"/>
      <color rgb="00000000"/>
    </font>
    <font>
      <b val="1"/>
      <color rgb="00FFFFFF"/>
      <sz val="14"/>
    </font>
  </fonts>
  <fills count="15">
    <fill>
      <patternFill/>
    </fill>
    <fill>
      <patternFill patternType="gray125"/>
    </fill>
    <fill>
      <patternFill patternType="solid">
        <fgColor rgb="FF1F2933"/>
        <bgColor rgb="FF333300"/>
      </patternFill>
    </fill>
    <fill>
      <patternFill patternType="solid">
        <fgColor rgb="FF3E4C59"/>
        <bgColor rgb="FF1F2933"/>
      </patternFill>
    </fill>
    <fill>
      <patternFill patternType="solid">
        <fgColor rgb="FFFFF3BF"/>
        <bgColor rgb="FFFFFF99"/>
      </patternFill>
    </fill>
    <fill>
      <patternFill patternType="solid">
        <fgColor rgb="0017365D"/>
      </patternFill>
    </fill>
    <fill>
      <patternFill patternType="solid">
        <fgColor rgb="004472C4"/>
      </patternFill>
    </fill>
    <fill>
      <patternFill patternType="solid">
        <fgColor rgb="00FFF2CC"/>
      </patternFill>
    </fill>
    <fill>
      <patternFill patternType="solid">
        <fgColor rgb="00FCE4D6"/>
      </patternFill>
    </fill>
    <fill>
      <patternFill patternType="solid">
        <fgColor rgb="00E2F0D9"/>
      </patternFill>
    </fill>
    <fill>
      <patternFill patternType="solid">
        <fgColor rgb="00E7E6E6"/>
      </patternFill>
    </fill>
    <fill>
      <patternFill patternType="solid">
        <fgColor rgb="00F4CCCC"/>
      </patternFill>
    </fill>
    <fill>
      <patternFill patternType="solid">
        <fgColor rgb="00D9EAF7"/>
      </patternFill>
    </fill>
    <fill>
      <patternFill patternType="solid">
        <fgColor rgb="001F4E78"/>
      </patternFill>
    </fill>
    <fill>
      <patternFill patternType="solid">
        <fgColor rgb="00E4DFEC"/>
      </patternFill>
    </fill>
  </fills>
  <borders count="4">
    <border>
      <left/>
      <right/>
      <top/>
      <bottom/>
      <diagonal/>
    </border>
    <border>
      <left style="thin">
        <color rgb="FF9AA5B1"/>
      </left>
      <right style="thin">
        <color rgb="FF9AA5B1"/>
      </right>
      <top style="thin">
        <color rgb="FF9AA5B1"/>
      </top>
      <bottom style="thin">
        <color rgb="FF9AA5B1"/>
      </bottom>
      <diagonal/>
    </border>
    <border>
      <bottom style="medium">
        <color rgb="0017365D"/>
      </bottom>
    </border>
    <border>
      <bottom style="thin">
        <color rgb="00B7B7B7"/>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80">
    <xf numFmtId="0" fontId="0" fillId="0" borderId="0" applyAlignment="1" pivotButton="0" quotePrefix="0" xfId="0">
      <alignment horizontal="general" vertical="bottom"/>
    </xf>
    <xf numFmtId="0" fontId="4" fillId="2" borderId="0" applyAlignment="1" pivotButton="0" quotePrefix="0" xfId="0">
      <alignment horizontal="general" vertical="bottom"/>
    </xf>
    <xf numFmtId="0" fontId="0" fillId="2"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top" wrapText="1"/>
    </xf>
    <xf numFmtId="0" fontId="7" fillId="3" borderId="0" applyAlignment="1" pivotButton="0" quotePrefix="0" xfId="0">
      <alignment horizontal="general" vertical="bottom"/>
    </xf>
    <xf numFmtId="0" fontId="0" fillId="3" borderId="0" applyAlignment="1" pivotButton="0" quotePrefix="0" xfId="0">
      <alignment horizontal="general" vertical="bottom"/>
    </xf>
    <xf numFmtId="0" fontId="5" fillId="4" borderId="0" applyAlignment="1" pivotButton="0" quotePrefix="0" xfId="0">
      <alignment horizontal="general" vertical="bottom"/>
    </xf>
    <xf numFmtId="0" fontId="6" fillId="0" borderId="0" applyAlignment="1" pivotButton="0" quotePrefix="0" xfId="0">
      <alignment horizontal="general" vertical="bottom"/>
    </xf>
    <xf numFmtId="0" fontId="7" fillId="3" borderId="1" applyAlignment="1" pivotButton="0" quotePrefix="0" xfId="0">
      <alignment horizontal="general" vertical="center" wrapText="1"/>
    </xf>
    <xf numFmtId="0" fontId="8" fillId="0" borderId="1" applyAlignment="1" pivotButton="0" quotePrefix="0" xfId="0">
      <alignment horizontal="general" vertical="bottom"/>
    </xf>
    <xf numFmtId="0" fontId="9" fillId="0" borderId="1" applyAlignment="1" pivotButton="0" quotePrefix="0" xfId="0">
      <alignment horizontal="general" vertical="bottom"/>
    </xf>
    <xf numFmtId="0" fontId="6" fillId="0" borderId="1" applyAlignment="1" pivotButton="0" quotePrefix="0" xfId="0">
      <alignment horizontal="general" vertical="bottom"/>
    </xf>
    <xf numFmtId="0" fontId="10" fillId="0" borderId="1" applyAlignment="1" pivotButton="0" quotePrefix="0" xfId="0">
      <alignment horizontal="general" vertical="bottom"/>
    </xf>
    <xf numFmtId="0" fontId="11" fillId="0" borderId="1" applyAlignment="1" pivotButton="0" quotePrefix="0" xfId="0">
      <alignment horizontal="general" vertical="bottom"/>
    </xf>
    <xf numFmtId="0" fontId="6" fillId="0" borderId="1" applyAlignment="1" pivotButton="0" quotePrefix="0" xfId="0">
      <alignment horizontal="general" vertical="top" wrapText="1"/>
    </xf>
    <xf numFmtId="0" fontId="0" fillId="4" borderId="1" applyAlignment="1" pivotButton="0" quotePrefix="0" xfId="0">
      <alignment horizontal="general" vertical="bottom"/>
    </xf>
    <xf numFmtId="0" fontId="12" fillId="0" borderId="1" applyAlignment="1" pivotButton="0" quotePrefix="0" xfId="0">
      <alignment horizontal="general" vertical="bottom"/>
    </xf>
    <xf numFmtId="0" fontId="12" fillId="0" borderId="0" applyAlignment="1" pivotButton="0" quotePrefix="0" xfId="0">
      <alignment horizontal="general" vertical="top" wrapText="1"/>
    </xf>
    <xf numFmtId="0" fontId="6" fillId="0" borderId="0" applyAlignment="1" pivotButton="0" quotePrefix="0" xfId="0">
      <alignment horizontal="general" vertical="top" wrapText="1"/>
    </xf>
    <xf numFmtId="0" fontId="5" fillId="0" borderId="1" applyAlignment="1" pivotButton="0" quotePrefix="0" xfId="0">
      <alignment horizontal="general" vertical="bottom"/>
    </xf>
    <xf numFmtId="0" fontId="6" fillId="0" borderId="1" applyAlignment="1" pivotButton="0" quotePrefix="0" xfId="0">
      <alignment horizontal="center" vertical="center"/>
    </xf>
    <xf numFmtId="0" fontId="6" fillId="0" borderId="0" applyAlignment="1" pivotButton="0" quotePrefix="0" xfId="0">
      <alignment horizontal="general" vertical="bottom"/>
    </xf>
    <xf numFmtId="2" fontId="9" fillId="0" borderId="1" applyAlignment="1" pivotButton="0" quotePrefix="0" xfId="0">
      <alignment horizontal="general" vertical="bottom"/>
    </xf>
    <xf numFmtId="164" fontId="6" fillId="0" borderId="1" applyAlignment="1" pivotButton="0" quotePrefix="0" xfId="0">
      <alignment horizontal="general" vertical="bottom"/>
    </xf>
    <xf numFmtId="0" fontId="12" fillId="0" borderId="0" applyAlignment="1" pivotButton="0" quotePrefix="0" xfId="0">
      <alignment horizontal="general" vertical="bottom"/>
    </xf>
    <xf numFmtId="0" fontId="0" fillId="0" borderId="0" pivotButton="0" quotePrefix="0" xfId="0"/>
    <xf numFmtId="0" fontId="13" fillId="5" borderId="0" applyAlignment="1" pivotButton="0" quotePrefix="0" xfId="0">
      <alignment horizontal="left" vertical="center"/>
    </xf>
    <xf numFmtId="0" fontId="14" fillId="6" borderId="2" applyAlignment="1" pivotButton="0" quotePrefix="0" xfId="0">
      <alignment horizontal="center" vertical="center" wrapText="1"/>
    </xf>
    <xf numFmtId="0" fontId="0" fillId="0" borderId="0" applyAlignment="1" pivotButton="0" quotePrefix="0" xfId="0">
      <alignment vertical="top" wrapText="1"/>
    </xf>
    <xf numFmtId="0" fontId="15" fillId="7" borderId="0" applyAlignment="1" pivotButton="0" quotePrefix="0" xfId="0">
      <alignment vertical="top" wrapText="1"/>
    </xf>
    <xf numFmtId="0" fontId="15" fillId="8" borderId="0" applyAlignment="1" pivotButton="0" quotePrefix="0" xfId="0">
      <alignment vertical="top" wrapText="1"/>
    </xf>
    <xf numFmtId="0" fontId="15" fillId="9" borderId="0" applyAlignment="1" pivotButton="0" quotePrefix="0" xfId="0">
      <alignment vertical="top" wrapText="1"/>
    </xf>
    <xf numFmtId="0" fontId="15" fillId="10" borderId="0" applyAlignment="1" pivotButton="0" quotePrefix="0" xfId="0">
      <alignment vertical="top" wrapText="1"/>
    </xf>
    <xf numFmtId="0" fontId="14" fillId="5" borderId="0" pivotButton="0" quotePrefix="0" xfId="0"/>
    <xf numFmtId="0" fontId="0" fillId="0" borderId="0" applyAlignment="1" pivotButton="0" quotePrefix="0" xfId="0">
      <alignment horizontal="right" vertical="top"/>
    </xf>
    <xf numFmtId="0" fontId="15" fillId="11" borderId="0" applyAlignment="1" pivotButton="0" quotePrefix="0" xfId="0">
      <alignment vertical="top" wrapText="1"/>
    </xf>
    <xf numFmtId="165" fontId="0" fillId="0" borderId="0" applyAlignment="1" pivotButton="0" quotePrefix="0" xfId="0">
      <alignment horizontal="right" vertical="top"/>
    </xf>
    <xf numFmtId="0" fontId="16" fillId="7" borderId="0" applyAlignment="1" pivotButton="0" quotePrefix="0" xfId="0">
      <alignment vertical="top" wrapText="1"/>
    </xf>
    <xf numFmtId="0" fontId="0" fillId="0" borderId="0" applyAlignment="1" pivotButton="0" quotePrefix="0" xfId="0">
      <alignment horizontal="general" vertical="bottom"/>
    </xf>
    <xf numFmtId="0" fontId="4" fillId="2" borderId="0" applyAlignment="1" pivotButton="0" quotePrefix="0" xfId="0">
      <alignment horizontal="general" vertical="bottom"/>
    </xf>
    <xf numFmtId="0" fontId="0" fillId="2"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top" wrapText="1"/>
    </xf>
    <xf numFmtId="0" fontId="7" fillId="3" borderId="0" applyAlignment="1" pivotButton="0" quotePrefix="0" xfId="0">
      <alignment horizontal="general" vertical="bottom"/>
    </xf>
    <xf numFmtId="0" fontId="0" fillId="3" borderId="0" applyAlignment="1" pivotButton="0" quotePrefix="0" xfId="0">
      <alignment horizontal="general" vertical="bottom"/>
    </xf>
    <xf numFmtId="0" fontId="5" fillId="4" borderId="0" applyAlignment="1" pivotButton="0" quotePrefix="0" xfId="0">
      <alignment horizontal="general" vertical="bottom"/>
    </xf>
    <xf numFmtId="0" fontId="6" fillId="0" borderId="0" applyAlignment="1" pivotButton="0" quotePrefix="0" xfId="0">
      <alignment horizontal="general" vertical="bottom"/>
    </xf>
    <xf numFmtId="0" fontId="0" fillId="7" borderId="0" applyAlignment="1" pivotButton="0" quotePrefix="0" xfId="0">
      <alignment wrapText="1"/>
    </xf>
    <xf numFmtId="0" fontId="7" fillId="3" borderId="1" applyAlignment="1" pivotButton="0" quotePrefix="0" xfId="0">
      <alignment horizontal="general" vertical="center" wrapText="1"/>
    </xf>
    <xf numFmtId="0" fontId="8" fillId="0" borderId="1" applyAlignment="1" pivotButton="0" quotePrefix="0" xfId="0">
      <alignment horizontal="general" vertical="bottom"/>
    </xf>
    <xf numFmtId="0" fontId="9" fillId="0" borderId="1" applyAlignment="1" pivotButton="0" quotePrefix="0" xfId="0">
      <alignment horizontal="general" vertical="bottom"/>
    </xf>
    <xf numFmtId="0" fontId="6" fillId="0" borderId="1" applyAlignment="1" pivotButton="0" quotePrefix="0" xfId="0">
      <alignment horizontal="general" vertical="bottom"/>
    </xf>
    <xf numFmtId="0" fontId="10" fillId="0" borderId="1" applyAlignment="1" pivotButton="0" quotePrefix="0" xfId="0">
      <alignment horizontal="general" vertical="bottom"/>
    </xf>
    <xf numFmtId="0" fontId="11" fillId="0" borderId="1" applyAlignment="1" pivotButton="0" quotePrefix="0" xfId="0">
      <alignment horizontal="general" vertical="bottom"/>
    </xf>
    <xf numFmtId="0" fontId="6" fillId="0" borderId="1" applyAlignment="1" pivotButton="0" quotePrefix="0" xfId="0">
      <alignment horizontal="general" vertical="top" wrapText="1"/>
    </xf>
    <xf numFmtId="0" fontId="0" fillId="4" borderId="1" applyAlignment="1" pivotButton="0" quotePrefix="0" xfId="0">
      <alignment horizontal="general" vertical="bottom"/>
    </xf>
    <xf numFmtId="0" fontId="12" fillId="0" borderId="1" applyAlignment="1" pivotButton="0" quotePrefix="0" xfId="0">
      <alignment horizontal="general" vertical="bottom"/>
    </xf>
    <xf numFmtId="0" fontId="12" fillId="0" borderId="0" applyAlignment="1" pivotButton="0" quotePrefix="0" xfId="0">
      <alignment horizontal="general" vertical="top" wrapText="1"/>
    </xf>
    <xf numFmtId="0" fontId="5" fillId="0" borderId="1" applyAlignment="1" pivotButton="0" quotePrefix="0" xfId="0">
      <alignment horizontal="general" vertical="bottom"/>
    </xf>
    <xf numFmtId="0" fontId="6" fillId="0" borderId="1" applyAlignment="1" pivotButton="0" quotePrefix="0" xfId="0">
      <alignment horizontal="center" vertical="center"/>
    </xf>
    <xf numFmtId="2" fontId="9" fillId="0" borderId="1" applyAlignment="1" pivotButton="0" quotePrefix="0" xfId="0">
      <alignment horizontal="general" vertical="bottom"/>
    </xf>
    <xf numFmtId="164" fontId="6" fillId="0" borderId="1" applyAlignment="1" pivotButton="0" quotePrefix="0" xfId="0">
      <alignment horizontal="general" vertical="bottom"/>
    </xf>
    <xf numFmtId="0" fontId="12" fillId="0" borderId="0" applyAlignment="1" pivotButton="0" quotePrefix="0" xfId="0">
      <alignment horizontal="general" vertical="bottom"/>
    </xf>
    <xf numFmtId="0" fontId="15" fillId="9" borderId="0" pivotButton="0" quotePrefix="0" xfId="0"/>
    <xf numFmtId="0" fontId="0" fillId="9" borderId="0" applyAlignment="1" pivotButton="0" quotePrefix="0" xfId="0">
      <alignment vertical="top" wrapText="1"/>
    </xf>
    <xf numFmtId="0" fontId="0" fillId="10" borderId="0" applyAlignment="1" pivotButton="0" quotePrefix="0" xfId="0">
      <alignment vertical="top" wrapText="1"/>
    </xf>
    <xf numFmtId="0" fontId="0" fillId="8" borderId="0" applyAlignment="1" pivotButton="0" quotePrefix="0" xfId="0">
      <alignment vertical="top" wrapText="1"/>
    </xf>
    <xf numFmtId="0" fontId="17" fillId="5" borderId="0" applyAlignment="1" pivotButton="0" quotePrefix="0" xfId="0">
      <alignment vertical="center"/>
    </xf>
    <xf numFmtId="0" fontId="14" fillId="6" borderId="0" applyAlignment="1" pivotButton="0" quotePrefix="0" xfId="0">
      <alignment vertical="center" wrapText="1"/>
    </xf>
    <xf numFmtId="0" fontId="0" fillId="11" borderId="0" applyAlignment="1" pivotButton="0" quotePrefix="0" xfId="0">
      <alignment vertical="top" wrapText="1"/>
    </xf>
    <xf numFmtId="0" fontId="18" fillId="5" borderId="0" applyAlignment="1" pivotButton="0" quotePrefix="0" xfId="0">
      <alignment horizontal="left" vertical="center"/>
    </xf>
    <xf numFmtId="0" fontId="19" fillId="12" borderId="3" applyAlignment="1" pivotButton="0" quotePrefix="0" xfId="0">
      <alignment horizontal="center" vertical="center" wrapText="1"/>
    </xf>
    <xf numFmtId="0" fontId="14" fillId="13" borderId="0" pivotButton="0" quotePrefix="0" xfId="0"/>
    <xf numFmtId="0" fontId="15" fillId="12" borderId="0" applyAlignment="1" pivotButton="0" quotePrefix="0" xfId="0">
      <alignment vertical="center" wrapText="1"/>
    </xf>
    <xf numFmtId="0" fontId="20" fillId="5" borderId="0" applyAlignment="1" pivotButton="0" quotePrefix="0" xfId="0">
      <alignment horizontal="left"/>
    </xf>
    <xf numFmtId="0" fontId="0" fillId="10" borderId="0" pivotButton="0" quotePrefix="0" xfId="0"/>
    <xf numFmtId="0" fontId="14" fillId="5" borderId="0" applyAlignment="1" pivotButton="0" quotePrefix="0" xfId="0">
      <alignment wrapText="1"/>
    </xf>
    <xf numFmtId="0" fontId="0" fillId="12" borderId="0" applyAlignment="1" pivotButton="0" quotePrefix="0" xfId="0">
      <alignment vertical="top" wrapText="1"/>
    </xf>
    <xf numFmtId="0" fontId="15" fillId="14" borderId="0" pivotButton="0" quotePrefix="0" xfId="0"/>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B00000"/>
      <rgbColor rgb="FF1B6E20"/>
      <rgbColor rgb="FF000080"/>
      <rgbColor rgb="FF808000"/>
      <rgbColor rgb="FF800080"/>
      <rgbColor rgb="FF008080"/>
      <rgbColor rgb="FFC0C0C0"/>
      <rgbColor rgb="FF808080"/>
      <rgbColor rgb="FF9999FF"/>
      <rgbColor rgb="FF993366"/>
      <rgbColor rgb="FFFFF3BF"/>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AA5B1"/>
      <rgbColor rgb="FF003366"/>
      <rgbColor rgb="FF339966"/>
      <rgbColor rgb="FF003300"/>
      <rgbColor rgb="FF333300"/>
      <rgbColor rgb="FF993300"/>
      <rgbColor rgb="FF993366"/>
      <rgbColor rgb="FF3E4C59"/>
      <rgbColor rgb="FF1F29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styles" Target="styles.xml" Id="rId28"/><Relationship Type="http://schemas.openxmlformats.org/officeDocument/2006/relationships/theme" Target="theme/theme1.xml" Id="rId29"/></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tabColor rgb="004472C4"/>
    <outlinePr summaryBelow="1" summaryRight="1"/>
    <pageSetUpPr fitToPage="1"/>
  </sheetPr>
  <dimension ref="A1:F21"/>
  <sheetViews>
    <sheetView showGridLines="0" workbookViewId="0">
      <pane ySplit="2" topLeftCell="A3" activePane="bottomLeft" state="frozen"/>
      <selection pane="bottomLeft" activeCell="A1" sqref="A1"/>
    </sheetView>
  </sheetViews>
  <sheetFormatPr baseColWidth="8" defaultRowHeight="15"/>
  <cols>
    <col width="51" customWidth="1" style="26" min="1" max="1"/>
    <col width="44" customWidth="1" style="26" min="2" max="2"/>
    <col width="12" customWidth="1" style="26" min="3" max="3"/>
    <col width="36" customWidth="1" style="26" min="4" max="4"/>
    <col width="16" customWidth="1" style="26" min="5" max="5"/>
    <col width="52" customWidth="1" style="26" min="6" max="6"/>
  </cols>
  <sheetData>
    <row r="1" ht="26" customHeight="1" s="26">
      <c r="A1" s="27" t="inlineStr">
        <is>
          <t>MODEL PARAMETERS v2.5 — APPROVED GOVERNED SUCCESSOR</t>
        </is>
      </c>
    </row>
    <row r="2">
      <c r="A2" s="28" t="inlineStr">
        <is>
          <t>Field</t>
        </is>
      </c>
      <c r="B2" s="28" t="inlineStr">
        <is>
          <t>Value</t>
        </is>
      </c>
      <c r="C2" s="28" t="inlineStr">
        <is>
          <t>Status</t>
        </is>
      </c>
      <c r="D2" s="28" t="inlineStr">
        <is>
          <t>Source</t>
        </is>
      </c>
      <c r="E2" s="28" t="inlineStr">
        <is>
          <t>Effective date</t>
        </is>
      </c>
      <c r="F2" s="28" t="inlineStr">
        <is>
          <t>Notes</t>
        </is>
      </c>
    </row>
    <row r="3">
      <c r="A3" s="29" t="inlineStr">
        <is>
          <t>Artifact</t>
        </is>
      </c>
      <c r="B3" s="29" t="inlineStr">
        <is>
          <t>Model_Parameters_v2_5_APPROVED.xlsx</t>
        </is>
      </c>
      <c r="C3" s="30" t="inlineStr">
        <is>
          <t>RATIFIED</t>
        </is>
      </c>
      <c r="D3" s="29" t="inlineStr">
        <is>
          <t>Chairman approval in conversation</t>
        </is>
      </c>
      <c r="E3" s="29" t="inlineStr">
        <is>
          <t>2026-07-22</t>
        </is>
      </c>
      <c r="F3" s="29" t="inlineStr">
        <is>
          <t>Approved successor; v2.5 ingests the recovered 00_CANON_MANIFEST as a historical canon snapshot and rejects stale current-authority claims.</t>
        </is>
      </c>
    </row>
    <row r="4">
      <c r="A4" s="29" t="inlineStr">
        <is>
          <t>Authority</t>
        </is>
      </c>
      <c r="B4" s="29" t="inlineStr">
        <is>
          <t>Chairman approved successor update</t>
        </is>
      </c>
      <c r="C4" s="31" t="inlineStr">
        <is>
          <t>RATIFIED</t>
        </is>
      </c>
      <c r="D4" s="29" t="inlineStr">
        <is>
          <t>User approval</t>
        </is>
      </c>
      <c r="E4" s="29" t="inlineStr">
        <is>
          <t>2026-07-22</t>
        </is>
      </c>
      <c r="F4" s="29" t="inlineStr">
        <is>
          <t>Canonical successor as of 2026-07-22; future changes remain append-only and governed.</t>
        </is>
      </c>
    </row>
    <row r="5">
      <c r="A5" s="29" t="inlineStr">
        <is>
          <t>Current schedule</t>
        </is>
      </c>
      <c r="B5" s="29" t="inlineStr">
        <is>
          <t>2026_FBS_Schedule_LOCKED_v5.xlsx</t>
        </is>
      </c>
      <c r="C5" s="32" t="inlineStr">
        <is>
          <t>CANONICAL / AUTHORITATIVE</t>
        </is>
      </c>
      <c r="D5" s="29" t="inlineStr">
        <is>
          <t>Schedule v5 Certification</t>
        </is>
      </c>
      <c r="E5" s="29" t="inlineStr">
        <is>
          <t>2026-07-22</t>
        </is>
      </c>
      <c r="F5" s="29" t="inlineStr">
        <is>
          <t>743 rows unchanged. G0003 corrected to UVA home vs NCSU; W1 2026-08-29; ACC conference game.</t>
        </is>
      </c>
    </row>
    <row r="6">
      <c r="A6" s="29" t="inlineStr">
        <is>
          <t>Current board</t>
        </is>
      </c>
      <c r="B6" s="29" t="inlineStr">
        <is>
          <t>2026 Board I-H v2.xlsx</t>
        </is>
      </c>
      <c r="C6" s="32" t="inlineStr">
        <is>
          <t>CANONICAL</t>
        </is>
      </c>
      <c r="D6" s="29" t="inlineStr">
        <is>
          <t>Board I-H v2 Rulings</t>
        </is>
      </c>
      <c r="E6" s="29" t="inlineStr">
        <is>
          <t>2026-07-14</t>
        </is>
      </c>
      <c r="F6" s="29" t="inlineStr">
        <is>
          <t>NDSU market correction; otherwise I-H unchanged.</t>
        </is>
      </c>
    </row>
    <row r="7">
      <c r="A7" s="29" t="inlineStr">
        <is>
          <t>Current team master</t>
        </is>
      </c>
      <c r="B7" s="29" t="inlineStr">
        <is>
          <t>Pre-season2026 FBS Team Master.xlsx</t>
        </is>
      </c>
      <c r="C7" s="32" t="inlineStr">
        <is>
          <t>VALIDATED</t>
        </is>
      </c>
      <c r="D7" s="29" t="inlineStr">
        <is>
          <t>Board I pin + team master metadata</t>
        </is>
      </c>
      <c r="E7" s="29" t="inlineStr">
        <is>
          <t>2026-07-08</t>
        </is>
      </c>
      <c r="F7" s="29" t="inlineStr">
        <is>
          <t>Sparse 2026_FBS_Team_Master.xlsx is DO-NOT-USE.</t>
        </is>
      </c>
    </row>
    <row r="8">
      <c r="A8" s="29" t="inlineStr">
        <is>
          <t>Current TV doctrine</t>
        </is>
      </c>
      <c r="B8" s="29" t="inlineStr">
        <is>
          <t>2026 Network Model v2.xlsx + TV patch v2</t>
        </is>
      </c>
      <c r="C8" s="32" t="inlineStr">
        <is>
          <t>LOCKED</t>
        </is>
      </c>
      <c r="D8" s="29" t="inlineStr">
        <is>
          <t>TV source files</t>
        </is>
      </c>
      <c r="E8" s="29" t="inlineStr">
        <is>
          <t>2026-07-18</t>
        </is>
      </c>
      <c r="F8" s="29" t="inlineStr">
        <is>
          <t>TV firewall remains in force; W2 collision held.</t>
        </is>
      </c>
    </row>
    <row r="9">
      <c r="A9" s="29" t="inlineStr">
        <is>
          <t>Current CCG doctrine</t>
        </is>
      </c>
      <c r="B9" s="29" t="inlineStr">
        <is>
          <t>Model_Parameters CCG patch + canonical engine/run chain</t>
        </is>
      </c>
      <c r="C9" s="32" t="inlineStr">
        <is>
          <t>LOCKED</t>
        </is>
      </c>
      <c r="D9" s="29" t="inlineStr">
        <is>
          <t>CCG patch</t>
        </is>
      </c>
      <c r="E9" s="29" t="inlineStr">
        <is>
          <t>2026-07-14</t>
        </is>
      </c>
      <c r="F9" s="29" t="inlineStr">
        <is>
          <t>CCG subsystem implementation and output provenance incorporated.</t>
        </is>
      </c>
    </row>
    <row r="10">
      <c r="A10" s="29" t="inlineStr">
        <is>
          <t>Original workbook</t>
        </is>
      </c>
      <c r="B10" s="29" t="inlineStr">
        <is>
          <t>Model Parameters.xlsx v1.0</t>
        </is>
      </c>
      <c r="C10" s="33" t="inlineStr">
        <is>
          <t>HISTORICAL</t>
        </is>
      </c>
      <c r="D10" s="29" t="inlineStr">
        <is>
          <t>Local upload</t>
        </is>
      </c>
      <c r="E10" s="29" t="inlineStr">
        <is>
          <t>2026-07-22</t>
        </is>
      </c>
      <c r="F10" s="29" t="inlineStr">
        <is>
          <t>Original sheets retained as legacy engine register.</t>
        </is>
      </c>
    </row>
    <row r="11">
      <c r="A11" s="29" t="inlineStr">
        <is>
          <t>Data flow</t>
        </is>
      </c>
      <c r="B11" s="29" t="inlineStr">
        <is>
          <t>LEDGER -&gt; POWER CRUNCH -&gt; CFB-26-TV</t>
        </is>
      </c>
      <c r="C11" s="32" t="inlineStr">
        <is>
          <t>LOCKED</t>
        </is>
      </c>
      <c r="D11" s="29" t="inlineStr">
        <is>
          <t>Network Model v2</t>
        </is>
      </c>
      <c r="E11" s="29" t="inlineStr">
        <is>
          <t>2026-07-15</t>
        </is>
      </c>
      <c r="F11" s="29" t="inlineStr">
        <is>
          <t>Downhill/read-only; TV does not consume ratings.</t>
        </is>
      </c>
    </row>
    <row r="13">
      <c r="B13" s="34" t="inlineStr">
        <is>
          <t>Status summary</t>
        </is>
      </c>
    </row>
    <row r="14">
      <c r="B14" s="39" t="inlineStr">
        <is>
          <t>Locked/Ratified/Canonical</t>
        </is>
      </c>
      <c r="C14" s="39">
        <f>COUNTIF('02_PARAMETER_REGISTER'!H:H,"LOCKED")+COUNTIF('02_PARAMETER_REGISTER'!H:H,"RATIFIED")+COUNTIF('02_PARAMETER_REGISTER'!H:H,"CANONICAL")</f>
        <v/>
      </c>
    </row>
    <row r="15">
      <c r="B15" s="39" t="inlineStr">
        <is>
          <t>Open/Held</t>
        </is>
      </c>
      <c r="C15" s="39">
        <f>COUNTIF('12_OPEN_ITEMS'!E:E,"OPEN")+COUNTIF('12_OPEN_ITEMS'!E:E,"HELD")</f>
        <v/>
      </c>
    </row>
    <row r="16">
      <c r="B16" s="39" t="inlineStr">
        <is>
          <t>Sources</t>
        </is>
      </c>
      <c r="C16" s="39">
        <f>COUNTA('01_SOURCE_REGISTER'!A:A)-2</f>
        <v/>
      </c>
    </row>
    <row r="18">
      <c r="A18" s="39" t="inlineStr">
        <is>
          <t>Pre-signing workbook SHA-256</t>
        </is>
      </c>
      <c r="B18" s="39" t="inlineStr">
        <is>
          <t>PENDING FINAL EXTERNAL HASH</t>
        </is>
      </c>
      <c r="C18" s="64" t="inlineStr">
        <is>
          <t>SEE MANIFEST</t>
        </is>
      </c>
      <c r="D18" s="39" t="inlineStr">
        <is>
          <t>External JSON manifest</t>
        </is>
      </c>
      <c r="E18" s="39" t="inlineStr">
        <is>
          <t>2026-07-22</t>
        </is>
      </c>
      <c r="F18" s="39" t="inlineStr">
        <is>
          <t>Final delivered workbook hash is stored in the companion JSON manifest.</t>
        </is>
      </c>
    </row>
    <row r="19">
      <c r="A19" s="29" t="inlineStr">
        <is>
          <t>Power Crunch v3 research gate</t>
        </is>
      </c>
      <c r="B19" s="29" t="inlineStr">
        <is>
          <t>gate_comeback_targets_v1.0.csv</t>
        </is>
      </c>
      <c r="C19" s="30" t="inlineStr">
        <is>
          <t>ACCEPTED AS RESEARCH INFORMATION</t>
        </is>
      </c>
      <c r="D19" s="29" t="inlineStr">
        <is>
          <t>Chairman direction</t>
        </is>
      </c>
      <c r="E19" s="29" t="inlineStr">
        <is>
          <t>2026-07-22</t>
        </is>
      </c>
      <c r="F19" s="29" t="inlineStr">
        <is>
          <t>For Power Crunch Research Lab / Simulation v3.0. Not authoritative for board rankings, observed performance, direct WP lookups, or automatic supersession.</t>
        </is>
      </c>
    </row>
    <row r="20">
      <c r="A20" s="39" t="inlineStr">
        <is>
          <t>ACC policy status</t>
        </is>
      </c>
      <c r="B20" s="39" t="inlineStr">
        <is>
          <t>EXTERNAL REFERENCE — DOES NOT SUPERSEDE R-CCG-01 WITHOUT RULING</t>
        </is>
      </c>
    </row>
    <row r="21">
      <c r="A21" s="39" t="inlineStr">
        <is>
          <t>ACC policy sheet</t>
        </is>
      </c>
      <c r="B21" s="39" t="inlineStr">
        <is>
          <t>18_ACC_POLICY_REFERENCE</t>
        </is>
      </c>
    </row>
  </sheetData>
  <autoFilter ref="A2:F11"/>
  <mergeCells count="1">
    <mergeCell ref="A1:F1"/>
  </mergeCells>
  <printOptions horizontalCentered="0"/>
  <pageMargins left="0.25" right="0.25" top="0.5" bottom="0.5" header="0.5" footer="0.5"/>
  <pageSetup orientation="landscape" fitToHeight="0" fitToWidth="1"/>
</worksheet>
</file>

<file path=xl/worksheets/sheet2.xml><?xml version="1.0" encoding="utf-8"?>
<worksheet xmlns="http://schemas.openxmlformats.org/spreadsheetml/2006/main">
  <sheetPr>
    <tabColor rgb="004472C4"/>
    <outlinePr summaryBelow="1" summaryRight="1"/>
    <pageSetUpPr fitToPage="1"/>
  </sheetPr>
  <dimension ref="A1:J22"/>
  <sheetViews>
    <sheetView showGridLines="0" workbookViewId="0">
      <pane ySplit="2" topLeftCell="A3" activePane="bottomLeft" state="frozen"/>
      <selection pane="bottomLeft" activeCell="A1" sqref="A1"/>
    </sheetView>
  </sheetViews>
  <sheetFormatPr baseColWidth="8" defaultRowHeight="15"/>
  <cols>
    <col width="52" customWidth="1" style="26" min="1" max="1"/>
    <col width="46" customWidth="1" style="26" min="2" max="2"/>
    <col width="28" customWidth="1" style="26" min="3" max="3"/>
    <col width="21" customWidth="1" style="26" min="4" max="4"/>
    <col width="17" customWidth="1" style="26" min="5" max="5"/>
    <col width="52" customWidth="1" style="26" min="6" max="6"/>
    <col width="52" customWidth="1" style="26" min="7" max="7"/>
    <col width="15" customWidth="1" style="26" min="8" max="8"/>
    <col width="19" customWidth="1" style="26" min="9" max="9"/>
    <col width="52" customWidth="1" style="26" min="10" max="10"/>
  </cols>
  <sheetData>
    <row r="1" ht="26" customHeight="1" s="26">
      <c r="A1" s="27" t="inlineStr">
        <is>
          <t>SOURCE REGISTER — RECOVERED AND VERIFIED ARTIFACTS</t>
        </is>
      </c>
    </row>
    <row r="2">
      <c r="A2" s="28" t="inlineStr">
        <is>
          <t>source_id</t>
        </is>
      </c>
      <c r="B2" s="28" t="inlineStr">
        <is>
          <t>artifact_name</t>
        </is>
      </c>
      <c r="C2" s="28" t="inlineStr">
        <is>
          <t>role</t>
        </is>
      </c>
      <c r="D2" s="28" t="inlineStr">
        <is>
          <t>version/status</t>
        </is>
      </c>
      <c r="E2" s="28" t="inlineStr">
        <is>
          <t>file_size_bytes</t>
        </is>
      </c>
      <c r="F2" s="28" t="inlineStr">
        <is>
          <t>calculated_sha256</t>
        </is>
      </c>
      <c r="G2" s="28" t="inlineStr">
        <is>
          <t>drive_or_local_url</t>
        </is>
      </c>
      <c r="H2" s="28" t="inlineStr">
        <is>
          <t>internal_date</t>
        </is>
      </c>
      <c r="I2" s="28" t="inlineStr">
        <is>
          <t>inspection_status</t>
        </is>
      </c>
      <c r="J2" s="28" t="inlineStr">
        <is>
          <t>notes</t>
        </is>
      </c>
    </row>
    <row r="3" s="26">
      <c r="A3" s="29" t="inlineStr">
        <is>
          <t>original</t>
        </is>
      </c>
      <c r="B3" s="29" t="inlineStr">
        <is>
          <t>Model Parameters.xlsx</t>
        </is>
      </c>
      <c r="C3" s="29" t="inlineStr">
        <is>
          <t>legacy master</t>
        </is>
      </c>
      <c r="D3" s="29" t="inlineStr">
        <is>
          <t>v1.0 / recovered</t>
        </is>
      </c>
      <c r="E3" s="29" t="n">
        <v>18201</v>
      </c>
      <c r="F3" s="29" t="inlineStr">
        <is>
          <t>5c8ddd42fe98df9b9f7d74a6dbf7f50568afec4a51a6e0083b2853b7072b8cea</t>
        </is>
      </c>
      <c r="G3" s="29" t="inlineStr">
        <is>
          <t>local upload</t>
        </is>
      </c>
      <c r="H3" s="29" t="n"/>
      <c r="I3" s="29" t="inlineStr">
        <is>
          <t>FILE-VERIFIED</t>
        </is>
      </c>
      <c r="J3" s="29" t="inlineStr">
        <is>
          <t>Original simulation engine register</t>
        </is>
      </c>
    </row>
    <row r="4">
      <c r="A4" s="29" t="inlineStr">
        <is>
          <t>schedule_v4</t>
        </is>
      </c>
      <c r="B4" s="29" t="inlineStr">
        <is>
          <t>2026_FBS_Schedule_LOCKED_v4.xlsx</t>
        </is>
      </c>
      <c r="C4" s="29" t="inlineStr">
        <is>
          <t>schedule</t>
        </is>
      </c>
      <c r="D4" s="29" t="inlineStr">
        <is>
          <t>SUPERSEDED by v5</t>
        </is>
      </c>
      <c r="E4" s="29" t="n">
        <v>43076</v>
      </c>
      <c r="F4" s="29" t="inlineStr">
        <is>
          <t>8d4d5112aa52cfb51895c95d104e3c5e1821813e3b481a4f1b3067668d0af57b</t>
        </is>
      </c>
      <c r="G4" s="29" t="inlineStr">
        <is>
          <t>https://drive.google.com/file/d/1x-LKMlfrud6k-BR-jm1RuJMI6OTqG5U0</t>
        </is>
      </c>
      <c r="H4" s="29" t="inlineStr">
        <is>
          <t>2026-07-14</t>
        </is>
      </c>
      <c r="I4" s="29" t="inlineStr">
        <is>
          <t>FILE-VERIFIED / SUPERSEDED</t>
        </is>
      </c>
      <c r="J4" s="29" t="inlineStr">
        <is>
          <t>743 games; superseded because G0003 had incorrect home/away and neutral-site designation.</t>
        </is>
      </c>
    </row>
    <row r="5">
      <c r="A5" s="29" t="inlineStr">
        <is>
          <t>board_ih_v2</t>
        </is>
      </c>
      <c r="B5" s="29" t="inlineStr">
        <is>
          <t>2026 Board I-H v2.xlsx</t>
        </is>
      </c>
      <c r="C5" s="29" t="inlineStr">
        <is>
          <t>committee board</t>
        </is>
      </c>
      <c r="D5" s="29" t="inlineStr">
        <is>
          <t>I-H v2 / canonical</t>
        </is>
      </c>
      <c r="E5" s="29" t="n">
        <v>17442</v>
      </c>
      <c r="F5" s="29" t="inlineStr">
        <is>
          <t>278701fc8e8ef62f992cf9f04f2ddddb6ba15c428cbd833a7bd14babf62b2213</t>
        </is>
      </c>
      <c r="G5" s="29" t="inlineStr">
        <is>
          <t>https://drive.google.com/file/d/1_kput_kMqAlLfUh7PsnONKXKWzk7iAqU</t>
        </is>
      </c>
      <c r="H5" s="29" t="inlineStr">
        <is>
          <t>2026-07-14</t>
        </is>
      </c>
      <c r="I5" s="29" t="inlineStr">
        <is>
          <t>FILE-VERIFIED</t>
        </is>
      </c>
      <c r="J5" s="29" t="inlineStr">
        <is>
          <t>NDSU market fix; 121 teams</t>
        </is>
      </c>
    </row>
    <row r="6">
      <c r="A6" s="29" t="inlineStr">
        <is>
          <t>team_master</t>
        </is>
      </c>
      <c r="B6" s="29" t="inlineStr">
        <is>
          <t>Pre-season2026 FBS Team Master.xlsx</t>
        </is>
      </c>
      <c r="C6" s="29" t="inlineStr">
        <is>
          <t>team input master</t>
        </is>
      </c>
      <c r="D6" s="29" t="inlineStr">
        <is>
          <t>enriched / current</t>
        </is>
      </c>
      <c r="E6" s="29" t="n">
        <v>32699</v>
      </c>
      <c r="F6" s="29" t="inlineStr">
        <is>
          <t>0b0c01f2712b78336840f843696e43b3b003134b6304d1ac14ccd1114679a5c6</t>
        </is>
      </c>
      <c r="G6" s="29" t="inlineStr">
        <is>
          <t>https://drive.google.com/file/d/1Y62iwPWSG7KGoEMl0X3NWoZqZwY10peu</t>
        </is>
      </c>
      <c r="H6" s="29" t="inlineStr">
        <is>
          <t>2026-07-08</t>
        </is>
      </c>
      <c r="I6" s="29" t="inlineStr">
        <is>
          <t>FILE-VERIFIED</t>
        </is>
      </c>
      <c r="J6" s="29" t="inlineStr">
        <is>
          <t>121 teams; 35 columns</t>
        </is>
      </c>
    </row>
    <row r="7">
      <c r="A7" s="29" t="inlineStr">
        <is>
          <t>network_v2</t>
        </is>
      </c>
      <c r="B7" s="29" t="inlineStr">
        <is>
          <t>2026 Network Model v2.xlsx</t>
        </is>
      </c>
      <c r="C7" s="29" t="inlineStr">
        <is>
          <t>TV doctrine</t>
        </is>
      </c>
      <c r="D7" s="29" t="inlineStr">
        <is>
          <t>v2 / canonical</t>
        </is>
      </c>
      <c r="E7" s="29" t="n">
        <v>14354</v>
      </c>
      <c r="F7" s="29" t="inlineStr">
        <is>
          <t>3cf906fcea5db2b8452733e9c27ab3031a7152327df01158ac54cc67b9eae142</t>
        </is>
      </c>
      <c r="G7" s="29" t="inlineStr">
        <is>
          <t>https://drive.google.com/file/d/1DGECWqgOP1B_ID_Ae9f11ZC1QEs4p1Z8</t>
        </is>
      </c>
      <c r="H7" s="29" t="inlineStr">
        <is>
          <t>2026-07-15</t>
        </is>
      </c>
      <c r="I7" s="29" t="inlineStr">
        <is>
          <t>FILE-VERIFIED</t>
        </is>
      </c>
      <c r="J7" s="29" t="inlineStr">
        <is>
          <t>Carriage families, packages, precedence, open items</t>
        </is>
      </c>
    </row>
    <row r="8">
      <c r="A8" s="29" t="inlineStr">
        <is>
          <t>tv_patch</t>
        </is>
      </c>
      <c r="B8" s="29" t="inlineStr">
        <is>
          <t>Model Parameters TV patch 2026-07-18 v2.xlsx</t>
        </is>
      </c>
      <c r="C8" s="29" t="inlineStr">
        <is>
          <t>master merge patch</t>
        </is>
      </c>
      <c r="D8" s="29" t="inlineStr">
        <is>
          <t>v2 / merge-ready</t>
        </is>
      </c>
      <c r="E8" s="29" t="n">
        <v>15280</v>
      </c>
      <c r="F8" s="29" t="inlineStr">
        <is>
          <t>49a8cba5d50a903580e5d672b0f328fe26f7c6ed09ca48beb0f299b48e1f79e1</t>
        </is>
      </c>
      <c r="G8" s="29" t="inlineStr">
        <is>
          <t>https://drive.google.com/file/d/1MmHH6nZ_j-Zfi-RJ0fQQYY8_ALYsZKn2</t>
        </is>
      </c>
      <c r="H8" s="29" t="inlineStr">
        <is>
          <t>2026-07-18</t>
        </is>
      </c>
      <c r="I8" s="29" t="inlineStr">
        <is>
          <t>FILE-VERIFIED</t>
        </is>
      </c>
      <c r="J8" s="29" t="inlineStr">
        <is>
          <t>20 TV rulings plus grid and open items</t>
        </is>
      </c>
    </row>
    <row r="9">
      <c r="A9" s="29" t="inlineStr">
        <is>
          <t>ccg_patch</t>
        </is>
      </c>
      <c r="B9" s="29" t="inlineStr">
        <is>
          <t>Model_Parameters_CCG_patch_2026-07-14.xlsx</t>
        </is>
      </c>
      <c r="C9" s="29" t="inlineStr">
        <is>
          <t>master merge patch</t>
        </is>
      </c>
      <c r="D9" s="29" t="inlineStr">
        <is>
          <t>merge-ready</t>
        </is>
      </c>
      <c r="E9" s="29" t="n">
        <v>12500</v>
      </c>
      <c r="F9" s="29" t="inlineStr">
        <is>
          <t>9ee54707a82ebea031eb13a2570782c3ca4d821e84f2a93eab196449e05de439</t>
        </is>
      </c>
      <c r="G9" s="29" t="inlineStr">
        <is>
          <t>https://drive.google.com/file/d/1iQaUaLqk6_tzX-pzewXRRp_mWLyShSSP</t>
        </is>
      </c>
      <c r="H9" s="29" t="inlineStr">
        <is>
          <t>2026-07-14</t>
        </is>
      </c>
      <c r="I9" s="29" t="inlineStr">
        <is>
          <t>FILE-VERIFIED</t>
        </is>
      </c>
      <c r="J9" s="29" t="inlineStr">
        <is>
          <t>CCG rules, parameters, defects, artifacts</t>
        </is>
      </c>
    </row>
    <row r="10">
      <c r="A10" s="29" t="inlineStr">
        <is>
          <t>ratings_2025</t>
        </is>
      </c>
      <c r="B10" s="29" t="inlineStr">
        <is>
          <t>2025_Rating_Layer_INGESTED.xlsx</t>
        </is>
      </c>
      <c r="C10" s="29" t="inlineStr">
        <is>
          <t>historical rating baseline</t>
        </is>
      </c>
      <c r="D10" s="29" t="inlineStr">
        <is>
          <t>ACCEPTED</t>
        </is>
      </c>
      <c r="E10" s="29" t="n">
        <v>36231</v>
      </c>
      <c r="F10" s="29" t="inlineStr">
        <is>
          <t>2e83a227c67cfbbd35a1082d80a7995c0db9860b0a3d9b9a0e598060a3a8350b</t>
        </is>
      </c>
      <c r="G10" s="29" t="inlineStr">
        <is>
          <t>https://drive.google.com/file/d/1P3IikcD7LB-H2c2aa-eS4jNGrQu8LSQ-</t>
        </is>
      </c>
      <c r="H10" s="29" t="inlineStr">
        <is>
          <t>2026-07-07</t>
        </is>
      </c>
      <c r="I10" s="29" t="inlineStr">
        <is>
          <t>FILE-VERIFIED</t>
        </is>
      </c>
      <c r="J10" s="29" t="inlineStr">
        <is>
          <t>119-team reconciled rating layer</t>
        </is>
      </c>
    </row>
    <row r="11">
      <c r="A11" s="29" t="inlineStr">
        <is>
          <t>season_2025</t>
        </is>
      </c>
      <c r="B11" s="29" t="inlineStr">
        <is>
          <t>2025_Synthetic_Season_LOCKED_v3.xlsx</t>
        </is>
      </c>
      <c r="C11" s="29" t="inlineStr">
        <is>
          <t>historical season canon</t>
        </is>
      </c>
      <c r="D11" s="29" t="inlineStr">
        <is>
          <t>LOCKED v3</t>
        </is>
      </c>
      <c r="E11" s="29" t="n">
        <v>116602</v>
      </c>
      <c r="F11" s="29" t="inlineStr">
        <is>
          <t>77bb6ecf48e805b62b8af238bbf7b3534330df0405b8a170e48bb5c234d532ba</t>
        </is>
      </c>
      <c r="G11" s="29" t="inlineStr">
        <is>
          <t>https://drive.google.com/file/d/1HYwtHAXBdKteBvFcPSk7Pxc1EpBKdoh4</t>
        </is>
      </c>
      <c r="H11" s="29" t="inlineStr">
        <is>
          <t>2026-07-20</t>
        </is>
      </c>
      <c r="I11" s="29" t="inlineStr">
        <is>
          <t>FILE-VERIFIED</t>
        </is>
      </c>
      <c r="J11" s="29" t="inlineStr">
        <is>
          <t>757 games; 119 teams</t>
        </is>
      </c>
    </row>
    <row r="12">
      <c r="A12" s="29" t="inlineStr">
        <is>
          <t>season_registry</t>
        </is>
      </c>
      <c r="B12" s="29" t="inlineStr">
        <is>
          <t>Canonical_Season_Registry.xlsx</t>
        </is>
      </c>
      <c r="C12" s="29" t="inlineStr">
        <is>
          <t>historical registry</t>
        </is>
      </c>
      <c r="D12" s="29" t="inlineStr">
        <is>
          <t>canonical</t>
        </is>
      </c>
      <c r="E12" s="29" t="n">
        <v>34421</v>
      </c>
      <c r="F12" s="29" t="inlineStr">
        <is>
          <t>6f94fe67f9bc0726ec574a788eaf84f9fc6862713bcceac9a2df869f8eca1c09</t>
        </is>
      </c>
      <c r="G12" s="29" t="inlineStr">
        <is>
          <t>https://drive.google.com/file/d/1BSaJAzzxLYtk7QaiOHjLBNHCdw_Vt2pL</t>
        </is>
      </c>
      <c r="H12" s="29" t="inlineStr">
        <is>
          <t>2026-07-20</t>
        </is>
      </c>
      <c r="I12" s="29" t="inlineStr">
        <is>
          <t>FILE-VERIFIED</t>
        </is>
      </c>
      <c r="J12" s="29" t="inlineStr">
        <is>
          <t>413 team-period rows</t>
        </is>
      </c>
    </row>
    <row r="13">
      <c r="A13" s="65" t="inlineStr">
        <is>
          <t>ccg_engine_v23</t>
        </is>
      </c>
      <c r="B13" s="65" t="inlineStr">
        <is>
          <t>compute_mc_hardened_v2_3.py</t>
        </is>
      </c>
      <c r="C13" s="65" t="inlineStr">
        <is>
          <t>canonical CCG Monte Carlo engine</t>
        </is>
      </c>
      <c r="D13" s="65" t="inlineStr">
        <is>
          <t>v2.3 / CANONICAL</t>
        </is>
      </c>
      <c r="E13" s="65" t="n">
        <v>15902</v>
      </c>
      <c r="F13" s="65" t="inlineStr">
        <is>
          <t>966f2bbb5affa0ef483794f8349a434764ac41cf6577bca4414ca4e75a3f02ec</t>
        </is>
      </c>
      <c r="G13" s="65" t="inlineStr">
        <is>
          <t>local approved upload</t>
        </is>
      </c>
      <c r="H13" s="65" t="inlineStr">
        <is>
          <t>2026-07-14</t>
        </is>
      </c>
      <c r="I13" s="65" t="inlineStr">
        <is>
          <t>FILE-VERIFIED</t>
        </is>
      </c>
      <c r="J13" s="65" t="inlineStr">
        <is>
          <t>Implements R-CCG-01/02/03/05/06/07/08, CG-7/8, TB-ECL/A8 and fail-loud loading.</t>
        </is>
      </c>
    </row>
    <row r="14">
      <c r="A14" s="65" t="inlineStr">
        <is>
          <t>ccg_run_v6</t>
        </is>
      </c>
      <c r="B14" s="65" t="inlineStr">
        <is>
          <t>2026_HARDENED_Run_v6.csv</t>
        </is>
      </c>
      <c r="C14" s="65" t="inlineStr">
        <is>
          <t>canonical CCG Monte Carlo output</t>
        </is>
      </c>
      <c r="D14" s="65" t="inlineStr">
        <is>
          <t>v6 / CANONICAL</t>
        </is>
      </c>
      <c r="E14" s="65" t="n">
        <v>10623</v>
      </c>
      <c r="F14" s="65" t="inlineStr">
        <is>
          <t>3907a502156980a1ba5adfc00e62e116926f351c681dcb3c588a7e17bffa1459</t>
        </is>
      </c>
      <c r="G14" s="65" t="inlineStr">
        <is>
          <t>local approved upload</t>
        </is>
      </c>
      <c r="H14" s="65" t="inlineStr">
        <is>
          <t>2026-07-14</t>
        </is>
      </c>
      <c r="I14" s="65" t="inlineStr">
        <is>
          <t>FILE-VERIFIED</t>
        </is>
      </c>
      <c r="J14" s="65" t="inlineStr">
        <is>
          <t>8,000 iterations; seed 20260714; engine v2.3 provenance.</t>
        </is>
      </c>
    </row>
    <row r="15">
      <c r="A15" s="65" t="inlineStr">
        <is>
          <t>aac_divisions</t>
        </is>
      </c>
      <c r="B15" s="65" t="inlineStr">
        <is>
          <t>aac_divisions_2026_RATIFIED.csv</t>
        </is>
      </c>
      <c r="C15" s="65" t="inlineStr">
        <is>
          <t>AAC division configuration</t>
        </is>
      </c>
      <c r="D15" s="65" t="inlineStr">
        <is>
          <t>RATIFIED</t>
        </is>
      </c>
      <c r="E15" s="65" t="n">
        <v>577</v>
      </c>
      <c r="F15" s="65" t="inlineStr">
        <is>
          <t>e0f674b4d0bab13ff943d0ced6364c70df40d4e4a1f1a2cde2a4479a13b2cd0f</t>
        </is>
      </c>
      <c r="G15" s="65" t="inlineStr">
        <is>
          <t>local approved upload</t>
        </is>
      </c>
      <c r="H15" s="65" t="inlineStr">
        <is>
          <t>2026-07-14</t>
        </is>
      </c>
      <c r="I15" s="65" t="inlineStr">
        <is>
          <t>FILE-VERIFIED</t>
        </is>
      </c>
      <c r="J15" s="65" t="inlineStr">
        <is>
          <t>First-class 8/8 American/Athletic division membership.</t>
        </is>
      </c>
    </row>
    <row r="16">
      <c r="A16" s="65" t="inlineStr">
        <is>
          <t>ccg_release_manifest</t>
        </is>
      </c>
      <c r="B16" s="65" t="inlineStr">
        <is>
          <t>RELEASE_MANIFEST_CCG_FINAL_2026-07-14.json</t>
        </is>
      </c>
      <c r="C16" s="65" t="inlineStr">
        <is>
          <t>CCG release provenance</t>
        </is>
      </c>
      <c r="D16" s="65" t="inlineStr">
        <is>
          <t>FINAL</t>
        </is>
      </c>
      <c r="E16" s="65" t="n">
        <v>1793</v>
      </c>
      <c r="F16" s="65" t="inlineStr">
        <is>
          <t>dbe84a92773dca46b44e0f11e44814d9cde62e5016cf93351eb2b34a6489f7d8</t>
        </is>
      </c>
      <c r="G16" s="65" t="inlineStr">
        <is>
          <t>local approved upload</t>
        </is>
      </c>
      <c r="H16" s="65" t="inlineStr">
        <is>
          <t>2026-07-14</t>
        </is>
      </c>
      <c r="I16" s="65" t="inlineStr">
        <is>
          <t>FILE-VERIFIED</t>
        </is>
      </c>
      <c r="J16" s="65" t="inlineStr">
        <is>
          <t>Full SHA-256 chain for final CCG artifact set.</t>
        </is>
      </c>
    </row>
    <row r="17">
      <c r="A17" s="65" t="inlineStr">
        <is>
          <t>ccg_consolidation</t>
        </is>
      </c>
      <c r="B17" s="65" t="inlineStr">
        <is>
          <t>CCG_Consolidation_2026-07-14.md</t>
        </is>
      </c>
      <c r="C17" s="65" t="inlineStr">
        <is>
          <t>authoritative decision history</t>
        </is>
      </c>
      <c r="D17" s="65" t="inlineStr">
        <is>
          <t>DECISION-BEARING</t>
        </is>
      </c>
      <c r="E17" s="65" t="n">
        <v>21128</v>
      </c>
      <c r="F17" s="65" t="inlineStr">
        <is>
          <t>05bd2af017ddd98dd7ecfb014d682fc4e2aedebe710375e95172d070b4995167</t>
        </is>
      </c>
      <c r="G17" s="65" t="inlineStr">
        <is>
          <t>local approved upload</t>
        </is>
      </c>
      <c r="H17" s="65" t="inlineStr">
        <is>
          <t>2026-07-14</t>
        </is>
      </c>
      <c r="I17" s="65" t="inlineStr">
        <is>
          <t>FILE-VERIFIED</t>
        </is>
      </c>
      <c r="J17" s="65" t="inlineStr">
        <is>
          <t>Approved, rejected, superseded, retired and risk classifications.</t>
        </is>
      </c>
    </row>
    <row r="18">
      <c r="A18" s="29" t="inlineStr">
        <is>
          <t>comeback_gate_v1</t>
        </is>
      </c>
      <c r="B18" s="29" t="inlineStr">
        <is>
          <t>gate_comeback_targets_v1.0.csv</t>
        </is>
      </c>
      <c r="C18" s="29" t="inlineStr">
        <is>
          <t>Power Crunch v3 research information</t>
        </is>
      </c>
      <c r="D18" s="29" t="inlineStr">
        <is>
          <t>v1.0 / RESEARCH</t>
        </is>
      </c>
      <c r="E18" s="29" t="n">
        <v>1004</v>
      </c>
      <c r="F18" s="29" t="inlineStr">
        <is>
          <t>e2b4677c4a4790bb8f18f1b9a061d6569132a3cc481273d818d1e23b0e8b9108</t>
        </is>
      </c>
      <c r="G18" s="29" t="inlineStr">
        <is>
          <t>local upload</t>
        </is>
      </c>
      <c r="H18" s="29" t="inlineStr">
        <is>
          <t>2026-07-22</t>
        </is>
      </c>
      <c r="I18" s="29" t="inlineStr">
        <is>
          <t>FILE-VERIFIED</t>
        </is>
      </c>
      <c r="J18" s="29" t="inlineStr">
        <is>
          <t>In-game comeback behavior and calibration gates; non-authoritative research input.</t>
        </is>
      </c>
    </row>
    <row r="19">
      <c r="A19" s="29" t="inlineStr">
        <is>
          <t>acc_policy_2026</t>
        </is>
      </c>
      <c r="B19" s="29" t="inlineStr">
        <is>
          <t>ACC_Football_Tiebreaker_Policy_Jully_2026.pdf</t>
        </is>
      </c>
      <c r="C19" s="29" t="inlineStr">
        <is>
          <t>external conference policy</t>
        </is>
      </c>
      <c r="D19" s="29" t="inlineStr">
        <is>
          <t>Amended 2026-07-01 / REFERENCE</t>
        </is>
      </c>
      <c r="E19" s="29" t="n">
        <v>35347</v>
      </c>
      <c r="F19" s="29" t="inlineStr">
        <is>
          <t>c5b49646b63487a635370f869e838bcd4c218b5ffc0cf60e4bc15b98db69081b</t>
        </is>
      </c>
      <c r="G19" s="29" t="inlineStr">
        <is>
          <t>local upload</t>
        </is>
      </c>
      <c r="H19" s="29" t="inlineStr">
        <is>
          <t>2026-07-01</t>
        </is>
      </c>
      <c r="I19" s="29" t="inlineStr">
        <is>
          <t>FILE-VERIFIED</t>
        </is>
      </c>
      <c r="J19" s="29" t="inlineStr">
        <is>
          <t>Authoritative for real ACC policy only; not automatically authoritative for OSF rules.</t>
        </is>
      </c>
    </row>
    <row r="20">
      <c r="A20" s="29" t="inlineStr">
        <is>
          <t>acc_policy_analysis</t>
        </is>
      </c>
      <c r="B20" s="29" t="inlineStr">
        <is>
          <t>Pasted text(170).txt</t>
        </is>
      </c>
      <c r="C20" s="29" t="inlineStr">
        <is>
          <t>research analysis / pressure test</t>
        </is>
      </c>
      <c r="D20" s="29" t="inlineStr">
        <is>
          <t>RESEARCH / NOT GOVERNING</t>
        </is>
      </c>
      <c r="E20" s="29" t="n">
        <v>25679</v>
      </c>
      <c r="F20" s="29" t="inlineStr">
        <is>
          <t>cba671d977056213fe65bd536ef1a94ca45adc83975d59ce67aa116a7a3b5193</t>
        </is>
      </c>
      <c r="G20" s="29" t="inlineStr">
        <is>
          <t>local upload</t>
        </is>
      </c>
      <c r="H20" s="29" t="inlineStr">
        <is>
          <t>2026-07-22</t>
        </is>
      </c>
      <c r="I20" s="29" t="inlineStr">
        <is>
          <t>FILE-VERIFIED</t>
        </is>
      </c>
      <c r="J20" s="29" t="inlineStr">
        <is>
          <t>Contains extraction, OSF divergence analysis, SportSource research discussion, and proposed BWI design. Recommendations require separate approval.</t>
        </is>
      </c>
    </row>
    <row r="21" s="26">
      <c r="A21" s="29" t="inlineStr">
        <is>
          <t>schedule_v5</t>
        </is>
      </c>
      <c r="B21" s="29" t="inlineStr">
        <is>
          <t>2026_FBS_Schedule_LOCKED_v5.xlsx</t>
        </is>
      </c>
      <c r="C21" s="29" t="inlineStr">
        <is>
          <t>authoritative schedule</t>
        </is>
      </c>
      <c r="D21" s="29" t="inlineStr">
        <is>
          <t>v5 / CANONICAL</t>
        </is>
      </c>
      <c r="E21" s="29" t="n">
        <v>43381</v>
      </c>
      <c r="F21" s="29" t="inlineStr">
        <is>
          <t>db26c3fff15a61ce8e7efa3b93100fa017e02248c96076d291495b55e855da12</t>
        </is>
      </c>
      <c r="G21" s="29" t="inlineStr">
        <is>
          <t>local generated successor</t>
        </is>
      </c>
      <c r="H21" s="29" t="inlineStr">
        <is>
          <t>2026-07-22</t>
        </is>
      </c>
      <c r="I21" s="29" t="inlineStr">
        <is>
          <t>FILE-VERIFIED</t>
        </is>
      </c>
      <c r="J21" s="29" t="inlineStr">
        <is>
          <t>743 games. G0003: UVA home, NCSU away, HOME venue, W1 2026-08-29, conference_game=Y.</t>
        </is>
      </c>
    </row>
    <row r="22">
      <c r="A22" s="29" t="inlineStr">
        <is>
          <t>canon_manifest_legacy</t>
        </is>
      </c>
      <c r="B22" s="29" t="inlineStr">
        <is>
          <t>00_CANON_MANIFEST.xlsx</t>
        </is>
      </c>
      <c r="C22" s="29" t="inlineStr">
        <is>
          <t>historical canon snapshot / custody evidence</t>
        </is>
      </c>
      <c r="D22" s="29" t="inlineStr">
        <is>
          <t>INGESTED — HISTORICAL SNAPSHOT</t>
        </is>
      </c>
      <c r="E22" s="29" t="n">
        <v>7169</v>
      </c>
      <c r="F22" s="29" t="inlineStr">
        <is>
          <t>bd27486ec90ea243299897e6ca27a79d1ceaaa98565ddde562c8590059d33cab</t>
        </is>
      </c>
      <c r="G22" s="29" t="inlineStr">
        <is>
          <t>local upload / Google Drive copy</t>
        </is>
      </c>
      <c r="H22" s="29" t="inlineStr">
        <is>
          <t>2026-07-14</t>
        </is>
      </c>
      <c r="I22" s="29" t="inlineStr">
        <is>
          <t>FILE-VERIFIED / STALE AUTHORITY FLAGS IDENTIFIED</t>
        </is>
      </c>
      <c r="J22" s="29" t="inlineStr">
        <is>
          <t>Preserves a July 14 canon state. Its Board I-H v2 claim remains aligned; its current MC/engine/schedule claims are superseded by engine v2.3, run v6, and schedule v5.</t>
        </is>
      </c>
    </row>
  </sheetData>
  <autoFilter ref="A2:J22"/>
  <mergeCells count="1">
    <mergeCell ref="A1:J1"/>
  </mergeCells>
  <printOptions horizontalCentered="0"/>
  <pageMargins left="0.25" right="0.25" top="0.5" bottom="0.5" header="0.5" footer="0.5"/>
  <pageSetup orientation="landscape" fitToHeight="0" fitToWidth="1"/>
</worksheet>
</file>

<file path=xl/worksheets/sheet3.xml><?xml version="1.0" encoding="utf-8"?>
<worksheet xmlns="http://schemas.openxmlformats.org/spreadsheetml/2006/main">
  <sheetPr>
    <tabColor rgb="004472C4"/>
    <outlinePr summaryBelow="1" summaryRight="1"/>
    <pageSetUpPr fitToPage="1"/>
  </sheetPr>
  <dimension ref="A1:P46"/>
  <sheetViews>
    <sheetView showGridLines="0" workbookViewId="0">
      <pane ySplit="2" topLeftCell="A3" activePane="bottomLeft" state="frozen"/>
      <selection pane="bottomLeft" activeCell="A1" sqref="A1"/>
    </sheetView>
  </sheetViews>
  <sheetFormatPr baseColWidth="8" defaultRowHeight="15"/>
  <cols>
    <col width="52" customWidth="1" style="26" min="1" max="1"/>
    <col width="13" customWidth="1" style="26" min="2" max="2"/>
    <col width="11" customWidth="1" style="26" min="3" max="3"/>
    <col width="26" customWidth="1" style="26" min="4" max="4"/>
    <col width="15" customWidth="1" style="26" min="5" max="5"/>
    <col width="11" customWidth="1" style="26" min="6" max="6"/>
    <col width="17" customWidth="1" style="26" min="7" max="7"/>
    <col width="13" customWidth="1" style="26" min="8" max="8"/>
    <col width="16" customWidth="1" style="26" min="9" max="9"/>
    <col width="22" customWidth="1" style="26" min="10" max="10"/>
    <col width="46" customWidth="1" style="26" min="11" max="11"/>
    <col width="32" customWidth="1" style="26" min="12" max="12"/>
    <col width="26" customWidth="1" style="26" min="13" max="13"/>
    <col width="37" customWidth="1" style="26" min="14" max="14"/>
    <col width="21" customWidth="1" style="26" min="15" max="15"/>
    <col width="52" customWidth="1" style="26" min="16" max="16"/>
  </cols>
  <sheetData>
    <row r="1" ht="26" customHeight="1" s="26">
      <c r="A1" s="27" t="inlineStr">
        <is>
          <t>MASTER PARAMETER REGISTER — CURRENT, HISTORICAL, AND OPEN</t>
        </is>
      </c>
    </row>
    <row r="2">
      <c r="A2" s="28" t="inlineStr">
        <is>
          <t>parameter_id</t>
        </is>
      </c>
      <c r="B2" s="28" t="inlineStr">
        <is>
          <t>domain</t>
        </is>
      </c>
      <c r="C2" s="28" t="inlineStr">
        <is>
          <t>subsystem</t>
        </is>
      </c>
      <c r="D2" s="28" t="inlineStr">
        <is>
          <t>parameter_name</t>
        </is>
      </c>
      <c r="E2" s="28" t="inlineStr">
        <is>
          <t>current_value</t>
        </is>
      </c>
      <c r="F2" s="28" t="inlineStr">
        <is>
          <t>data_type</t>
        </is>
      </c>
      <c r="G2" s="28" t="inlineStr">
        <is>
          <t>unit</t>
        </is>
      </c>
      <c r="H2" s="28" t="inlineStr">
        <is>
          <t>status</t>
        </is>
      </c>
      <c r="I2" s="28" t="inlineStr">
        <is>
          <t>effective_date</t>
        </is>
      </c>
      <c r="J2" s="28" t="inlineStr">
        <is>
          <t>ruling_id</t>
        </is>
      </c>
      <c r="K2" s="28" t="inlineStr">
        <is>
          <t>source_artifact</t>
        </is>
      </c>
      <c r="L2" s="28" t="inlineStr">
        <is>
          <t>source_location</t>
        </is>
      </c>
      <c r="M2" s="28" t="inlineStr">
        <is>
          <t>prior_value</t>
        </is>
      </c>
      <c r="N2" s="28" t="inlineStr">
        <is>
          <t>implementation_status</t>
        </is>
      </c>
      <c r="O2" s="28" t="inlineStr">
        <is>
          <t>validation_status</t>
        </is>
      </c>
      <c r="P2" s="28" t="inlineStr">
        <is>
          <t>notes</t>
        </is>
      </c>
    </row>
    <row r="3" s="26">
      <c r="A3" s="29" t="inlineStr">
        <is>
          <t>ENG-RATING-SLOPE</t>
        </is>
      </c>
      <c r="B3" s="29" t="inlineStr">
        <is>
          <t>GAME_ENGINE</t>
        </is>
      </c>
      <c r="C3" s="29" t="inlineStr">
        <is>
          <t>cfb_sim</t>
        </is>
      </c>
      <c r="D3" s="29" t="inlineStr">
        <is>
          <t>RATING_SLOPE</t>
        </is>
      </c>
      <c r="E3" s="35" t="n">
        <v>0.022</v>
      </c>
      <c r="F3" s="29" t="inlineStr">
        <is>
          <t>number</t>
        </is>
      </c>
      <c r="G3" s="29" t="inlineStr">
        <is>
          <t>logit/rating pt</t>
        </is>
      </c>
      <c r="H3" s="32" t="inlineStr">
        <is>
          <t>VERIFIED</t>
        </is>
      </c>
      <c r="I3" s="29" t="inlineStr">
        <is>
          <t>2026-07-14</t>
        </is>
      </c>
      <c r="J3" s="29" t="inlineStr"/>
      <c r="K3" s="29" t="inlineStr">
        <is>
          <t>Model Parameters.xlsx</t>
        </is>
      </c>
      <c r="L3" s="29" t="inlineStr">
        <is>
          <t>ENGINE_PARAMS!A4:G4</t>
        </is>
      </c>
      <c r="M3" s="29" t="inlineStr"/>
      <c r="N3" s="29" t="inlineStr">
        <is>
          <t>legacy source only</t>
        </is>
      </c>
      <c r="O3" s="29" t="inlineStr">
        <is>
          <t>CALIBRATION PARTIAL</t>
        </is>
      </c>
      <c r="P3" s="29" t="inlineStr">
        <is>
          <t>Original engine parameter</t>
        </is>
      </c>
    </row>
    <row r="4">
      <c r="A4" s="29" t="inlineStr">
        <is>
          <t>ENG-HOME-FIELD</t>
        </is>
      </c>
      <c r="B4" s="29" t="inlineStr">
        <is>
          <t>GAME_ENGINE</t>
        </is>
      </c>
      <c r="C4" s="29" t="inlineStr">
        <is>
          <t>cfb_sim</t>
        </is>
      </c>
      <c r="D4" s="29" t="inlineStr">
        <is>
          <t>HOME_FIELD_PTS</t>
        </is>
      </c>
      <c r="E4" s="35" t="n">
        <v>4</v>
      </c>
      <c r="F4" s="29" t="inlineStr">
        <is>
          <t>number</t>
        </is>
      </c>
      <c r="G4" s="29" t="inlineStr">
        <is>
          <t>points</t>
        </is>
      </c>
      <c r="H4" s="33" t="inlineStr">
        <is>
          <t>HISTORICAL</t>
        </is>
      </c>
      <c r="I4" s="29" t="inlineStr">
        <is>
          <t>2026-07-14</t>
        </is>
      </c>
      <c r="J4" s="29" t="inlineStr"/>
      <c r="K4" s="29" t="inlineStr">
        <is>
          <t>Model Parameters.xlsx</t>
        </is>
      </c>
      <c r="L4" s="29" t="inlineStr">
        <is>
          <t>ENGINE_PARAMS!A5:G5</t>
        </is>
      </c>
      <c r="M4" s="35" t="n">
        <v>3.5</v>
      </c>
      <c r="N4" s="29" t="inlineStr">
        <is>
          <t>conflicts with current HFA families</t>
        </is>
      </c>
      <c r="O4" s="29" t="inlineStr">
        <is>
          <t>NOT CURRENT</t>
        </is>
      </c>
      <c r="P4" s="29" t="inlineStr">
        <is>
          <t>Legacy drive-engine HFA; do not conflate with schedule HFA or Elo HFA</t>
        </is>
      </c>
    </row>
    <row r="5">
      <c r="A5" s="29" t="inlineStr">
        <is>
          <t>SCHED-HFA-BASE</t>
        </is>
      </c>
      <c r="B5" s="29" t="inlineStr">
        <is>
          <t>TEAM_MASTER</t>
        </is>
      </c>
      <c r="C5" s="29" t="inlineStr">
        <is>
          <t>venue</t>
        </is>
      </c>
      <c r="D5" s="29" t="inlineStr">
        <is>
          <t>hfa_baseline_points</t>
        </is>
      </c>
      <c r="E5" s="35" t="n">
        <v>3.5</v>
      </c>
      <c r="F5" s="29" t="inlineStr">
        <is>
          <t>number</t>
        </is>
      </c>
      <c r="G5" s="29" t="inlineStr">
        <is>
          <t>points</t>
        </is>
      </c>
      <c r="H5" s="32" t="inlineStr">
        <is>
          <t>LOCKED</t>
        </is>
      </c>
      <c r="I5" s="29" t="inlineStr">
        <is>
          <t>2026-07-08</t>
        </is>
      </c>
      <c r="J5" s="29" t="inlineStr"/>
      <c r="K5" s="29" t="inlineStr">
        <is>
          <t>Pre-season2026 FBS Team Master.xlsx</t>
        </is>
      </c>
      <c r="L5" s="29" t="inlineStr">
        <is>
          <t>Model_Parameters!A2:F2</t>
        </is>
      </c>
      <c r="M5" s="29" t="inlineStr"/>
      <c r="N5" s="29" t="inlineStr">
        <is>
          <t>active team-edge baseline</t>
        </is>
      </c>
      <c r="O5" s="29" t="inlineStr">
        <is>
          <t>SOURCE-VERIFIED</t>
        </is>
      </c>
      <c r="P5" s="29" t="inlineStr">
        <is>
          <t>team_home_edge_points = modifier * 3.5</t>
        </is>
      </c>
    </row>
    <row r="6">
      <c r="A6" s="29" t="inlineStr">
        <is>
          <t>TM-HFA-MOD</t>
        </is>
      </c>
      <c r="B6" s="29" t="inlineStr">
        <is>
          <t>TEAM_MASTER</t>
        </is>
      </c>
      <c r="C6" s="29" t="inlineStr">
        <is>
          <t>preseason</t>
        </is>
      </c>
      <c r="D6" s="29" t="inlineStr">
        <is>
          <t>hfa_modifier_default</t>
        </is>
      </c>
      <c r="E6" s="35" t="n">
        <v>1</v>
      </c>
      <c r="F6" s="29" t="inlineStr">
        <is>
          <t>int</t>
        </is>
      </c>
      <c r="G6" s="29" t="inlineStr">
        <is>
          <t>ratio</t>
        </is>
      </c>
      <c r="H6" s="32" t="inlineStr">
        <is>
          <t>LOCKED</t>
        </is>
      </c>
      <c r="I6" s="29" t="inlineStr">
        <is>
          <t>2026-07-08</t>
        </is>
      </c>
      <c r="J6" s="29" t="inlineStr"/>
      <c r="K6" s="29" t="inlineStr">
        <is>
          <t>Pre-season2026 FBS Team Master.xlsx</t>
        </is>
      </c>
      <c r="L6" s="29" t="inlineStr">
        <is>
          <t>Model_Parameters</t>
        </is>
      </c>
      <c r="M6" s="29" t="inlineStr"/>
      <c r="N6" s="29" t="inlineStr">
        <is>
          <t>active</t>
        </is>
      </c>
      <c r="O6" s="29" t="inlineStr">
        <is>
          <t>SOURCE-VERIFIED</t>
        </is>
      </c>
      <c r="P6" s="29" t="inlineStr">
        <is>
          <t>All teams at default pending shrinkage</t>
        </is>
      </c>
    </row>
    <row r="7">
      <c r="A7" s="29" t="inlineStr">
        <is>
          <t>TM-TALENT</t>
        </is>
      </c>
      <c r="B7" s="29" t="inlineStr">
        <is>
          <t>TEAM_MASTER</t>
        </is>
      </c>
      <c r="C7" s="29" t="inlineStr">
        <is>
          <t>preseason</t>
        </is>
      </c>
      <c r="D7" s="29" t="inlineStr">
        <is>
          <t>talent_transform</t>
        </is>
      </c>
      <c r="E7" s="29" t="inlineStr">
        <is>
          <t>rank_anchored</t>
        </is>
      </c>
      <c r="F7" s="29" t="inlineStr">
        <is>
          <t>str</t>
        </is>
      </c>
      <c r="G7" s="29" t="inlineStr">
        <is>
          <t>method</t>
        </is>
      </c>
      <c r="H7" s="32" t="inlineStr">
        <is>
          <t>LOCKED</t>
        </is>
      </c>
      <c r="I7" s="29" t="inlineStr">
        <is>
          <t>2026-07-08</t>
        </is>
      </c>
      <c r="J7" s="29" t="inlineStr"/>
      <c r="K7" s="29" t="inlineStr">
        <is>
          <t>Pre-season2026 FBS Team Master.xlsx</t>
        </is>
      </c>
      <c r="L7" s="29" t="inlineStr">
        <is>
          <t>Model_Parameters</t>
        </is>
      </c>
      <c r="M7" s="29" t="inlineStr"/>
      <c r="N7" s="29" t="inlineStr">
        <is>
          <t>active</t>
        </is>
      </c>
      <c r="O7" s="29" t="inlineStr">
        <is>
          <t>SOURCE-VERIFIED</t>
        </is>
      </c>
      <c r="P7" s="29" t="inlineStr">
        <is>
          <t>247 rank to tier bands, piecewise linear</t>
        </is>
      </c>
    </row>
    <row r="8">
      <c r="A8" s="29" t="inlineStr">
        <is>
          <t>TM-TALENT-YEAR</t>
        </is>
      </c>
      <c r="B8" s="29" t="inlineStr">
        <is>
          <t>TEAM_MASTER</t>
        </is>
      </c>
      <c r="C8" s="29" t="inlineStr">
        <is>
          <t>preseason</t>
        </is>
      </c>
      <c r="D8" s="29" t="inlineStr">
        <is>
          <t>talent_source_year</t>
        </is>
      </c>
      <c r="E8" s="35" t="n">
        <v>2025</v>
      </c>
      <c r="F8" s="29" t="inlineStr">
        <is>
          <t>int</t>
        </is>
      </c>
      <c r="G8" s="29" t="inlineStr">
        <is>
          <t>year</t>
        </is>
      </c>
      <c r="H8" s="32" t="inlineStr">
        <is>
          <t>LOCKED</t>
        </is>
      </c>
      <c r="I8" s="29" t="inlineStr">
        <is>
          <t>2026-07-08</t>
        </is>
      </c>
      <c r="J8" s="29" t="inlineStr"/>
      <c r="K8" s="29" t="inlineStr">
        <is>
          <t>Pre-season2026 FBS Team Master.xlsx</t>
        </is>
      </c>
      <c r="L8" s="29" t="inlineStr">
        <is>
          <t>Model_Parameters</t>
        </is>
      </c>
      <c r="M8" s="29" t="inlineStr"/>
      <c r="N8" s="29" t="inlineStr">
        <is>
          <t>active</t>
        </is>
      </c>
      <c r="O8" s="29" t="inlineStr">
        <is>
          <t>SOURCE-VERIFIED</t>
        </is>
      </c>
      <c r="P8" s="29" t="inlineStr">
        <is>
          <t>2026 edition unavailable at source time</t>
        </is>
      </c>
    </row>
    <row r="9">
      <c r="A9" s="29" t="inlineStr">
        <is>
          <t>TM-PORTAL-PROXY</t>
        </is>
      </c>
      <c r="B9" s="29" t="inlineStr">
        <is>
          <t>TEAM_MASTER</t>
        </is>
      </c>
      <c r="C9" s="29" t="inlineStr">
        <is>
          <t>preseason</t>
        </is>
      </c>
      <c r="D9" s="29" t="inlineStr">
        <is>
          <t>portal_proxy_retained</t>
        </is>
      </c>
      <c r="E9" s="29" t="inlineStr">
        <is>
          <t>true</t>
        </is>
      </c>
      <c r="F9" s="29" t="inlineStr">
        <is>
          <t>str</t>
        </is>
      </c>
      <c r="G9" s="29" t="inlineStr">
        <is>
          <t>flag</t>
        </is>
      </c>
      <c r="H9" s="32" t="inlineStr">
        <is>
          <t>LOCKED</t>
        </is>
      </c>
      <c r="I9" s="29" t="inlineStr">
        <is>
          <t>2026-07-08</t>
        </is>
      </c>
      <c r="J9" s="29" t="inlineStr"/>
      <c r="K9" s="29" t="inlineStr">
        <is>
          <t>Pre-season2026 FBS Team Master.xlsx</t>
        </is>
      </c>
      <c r="L9" s="29" t="inlineStr">
        <is>
          <t>Model_Parameters</t>
        </is>
      </c>
      <c r="M9" s="29" t="inlineStr"/>
      <c r="N9" s="29" t="inlineStr">
        <is>
          <t>active</t>
        </is>
      </c>
      <c r="O9" s="29" t="inlineStr">
        <is>
          <t>SOURCE-VERIFIED</t>
        </is>
      </c>
      <c r="P9" s="29" t="inlineStr">
        <is>
          <t>52 G5 rows proxy-derived and labeled</t>
        </is>
      </c>
    </row>
    <row r="10">
      <c r="A10" s="29" t="inlineStr">
        <is>
          <t>TM-POLL-AUTH</t>
        </is>
      </c>
      <c r="B10" s="29" t="inlineStr">
        <is>
          <t>TEAM_MASTER</t>
        </is>
      </c>
      <c r="C10" s="29" t="inlineStr">
        <is>
          <t>preseason</t>
        </is>
      </c>
      <c r="D10" s="29" t="inlineStr">
        <is>
          <t>preseason_poll_authority</t>
        </is>
      </c>
      <c r="E10" s="29" t="inlineStr">
        <is>
          <t>NCP_synthetic</t>
        </is>
      </c>
      <c r="F10" s="29" t="inlineStr">
        <is>
          <t>str</t>
        </is>
      </c>
      <c r="G10" s="29" t="inlineStr">
        <is>
          <t>definition</t>
        </is>
      </c>
      <c r="H10" s="32" t="inlineStr">
        <is>
          <t>LOCKED</t>
        </is>
      </c>
      <c r="I10" s="29" t="inlineStr">
        <is>
          <t>2026-07-08</t>
        </is>
      </c>
      <c r="J10" s="29" t="inlineStr"/>
      <c r="K10" s="29" t="inlineStr">
        <is>
          <t>Pre-season2026 FBS Team Master.xlsx</t>
        </is>
      </c>
      <c r="L10" s="29" t="inlineStr">
        <is>
          <t>Model_Parameters</t>
        </is>
      </c>
      <c r="M10" s="29" t="inlineStr"/>
      <c r="N10" s="29" t="inlineStr">
        <is>
          <t>active</t>
        </is>
      </c>
      <c r="O10" s="29" t="inlineStr">
        <is>
          <t>SOURCE-VERIFIED</t>
        </is>
      </c>
      <c r="P10" s="29" t="inlineStr">
        <is>
          <t>Nationwide Coaches Poll replaces AP field</t>
        </is>
      </c>
    </row>
    <row r="11">
      <c r="A11" s="29" t="inlineStr">
        <is>
          <t>BOARD-MIX-POWER</t>
        </is>
      </c>
      <c r="B11" s="29" t="inlineStr">
        <is>
          <t>BOARD</t>
        </is>
      </c>
      <c r="C11" s="29" t="inlineStr">
        <is>
          <t>committee</t>
        </is>
      </c>
      <c r="D11" s="29" t="inlineStr">
        <is>
          <t>power_weight</t>
        </is>
      </c>
      <c r="E11" s="35" t="n">
        <v>0.911111</v>
      </c>
      <c r="F11" s="29" t="inlineStr">
        <is>
          <t>number</t>
        </is>
      </c>
      <c r="G11" s="29" t="inlineStr">
        <is>
          <t>weight</t>
        </is>
      </c>
      <c r="H11" s="32" t="inlineStr">
        <is>
          <t>LOCKED</t>
        </is>
      </c>
      <c r="I11" s="29" t="inlineStr">
        <is>
          <t>2026-07-14</t>
        </is>
      </c>
      <c r="J11" s="29" t="inlineStr"/>
      <c r="K11" s="29" t="inlineStr">
        <is>
          <t>2026 Board I-H v2.xlsx</t>
        </is>
      </c>
      <c r="L11" s="29" t="inlineStr">
        <is>
          <t>Rulings v2 / committee formula</t>
        </is>
      </c>
      <c r="M11" s="29" t="inlineStr"/>
      <c r="N11" s="29" t="inlineStr">
        <is>
          <t>active</t>
        </is>
      </c>
      <c r="O11" s="29" t="inlineStr">
        <is>
          <t>SOURCE-VERIFIED</t>
        </is>
      </c>
      <c r="P11" s="29" t="inlineStr">
        <is>
          <t>Board I-H is kappa-free</t>
        </is>
      </c>
    </row>
    <row r="12">
      <c r="A12" s="29" t="inlineStr">
        <is>
          <t>BOARD-MIX-MARKET</t>
        </is>
      </c>
      <c r="B12" s="29" t="inlineStr">
        <is>
          <t>BOARD</t>
        </is>
      </c>
      <c r="C12" s="29" t="inlineStr">
        <is>
          <t>committee</t>
        </is>
      </c>
      <c r="D12" s="29" t="inlineStr">
        <is>
          <t>market_weight</t>
        </is>
      </c>
      <c r="E12" s="35" t="n">
        <v>0.088889</v>
      </c>
      <c r="F12" s="29" t="inlineStr">
        <is>
          <t>number</t>
        </is>
      </c>
      <c r="G12" s="29" t="inlineStr">
        <is>
          <t>weight</t>
        </is>
      </c>
      <c r="H12" s="32" t="inlineStr">
        <is>
          <t>LOCKED</t>
        </is>
      </c>
      <c r="I12" s="29" t="inlineStr">
        <is>
          <t>2026-07-14</t>
        </is>
      </c>
      <c r="J12" s="29" t="inlineStr">
        <is>
          <t>D-MARKET-NDSU</t>
        </is>
      </c>
      <c r="K12" s="29" t="inlineStr">
        <is>
          <t>2026 Board I-H v2.xlsx</t>
        </is>
      </c>
      <c r="L12" s="29" t="inlineStr">
        <is>
          <t>Rulings v2</t>
        </is>
      </c>
      <c r="M12" s="29" t="inlineStr"/>
      <c r="N12" s="29" t="inlineStr">
        <is>
          <t>active</t>
        </is>
      </c>
      <c r="O12" s="29" t="inlineStr">
        <is>
          <t>SOURCE-VERIFIED</t>
        </is>
      </c>
      <c r="P12" s="29" t="inlineStr">
        <is>
          <t>Missing market uses conference mean; ECL treatment carried from I-H</t>
        </is>
      </c>
    </row>
    <row r="13">
      <c r="A13" s="29" t="inlineStr">
        <is>
          <t>BOARD-ECOLOGY</t>
        </is>
      </c>
      <c r="B13" s="29" t="inlineStr">
        <is>
          <t>BOARD</t>
        </is>
      </c>
      <c r="C13" s="29" t="inlineStr">
        <is>
          <t>committee</t>
        </is>
      </c>
      <c r="D13" s="29" t="inlineStr">
        <is>
          <t>conference_ecology</t>
        </is>
      </c>
      <c r="E13" s="29" t="inlineStr">
        <is>
          <t>retired</t>
        </is>
      </c>
      <c r="F13" s="29" t="inlineStr">
        <is>
          <t>text</t>
        </is>
      </c>
      <c r="G13" s="29" t="inlineStr"/>
      <c r="H13" s="33" t="inlineStr">
        <is>
          <t>RETIRED</t>
        </is>
      </c>
      <c r="I13" s="29" t="inlineStr">
        <is>
          <t>2026-07-12</t>
        </is>
      </c>
      <c r="J13" s="29" t="inlineStr">
        <is>
          <t>R-ECO-01</t>
        </is>
      </c>
      <c r="K13" s="29" t="inlineStr">
        <is>
          <t>2026 Board I CANONICAL-H.xlsx</t>
        </is>
      </c>
      <c r="L13" s="29" t="inlineStr">
        <is>
          <t>ruling metadata</t>
        </is>
      </c>
      <c r="M13" s="29" t="inlineStr">
        <is>
          <t>active in earlier boards</t>
        </is>
      </c>
      <c r="N13" s="29" t="inlineStr">
        <is>
          <t>removed</t>
        </is>
      </c>
      <c r="O13" s="29" t="inlineStr">
        <is>
          <t>SOURCE-VERIFIED</t>
        </is>
      </c>
      <c r="P13" s="29" t="inlineStr">
        <is>
          <t>Retired as reputation/double-count signal</t>
        </is>
      </c>
    </row>
    <row r="14">
      <c r="A14" s="29" t="inlineStr">
        <is>
          <t>CCG-PARAMETER</t>
        </is>
      </c>
      <c r="B14" s="29" t="inlineStr">
        <is>
          <t>CCG</t>
        </is>
      </c>
      <c r="C14" s="29" t="inlineStr">
        <is>
          <t>season</t>
        </is>
      </c>
      <c r="D14" s="29" t="inlineStr">
        <is>
          <t>Parameter</t>
        </is>
      </c>
      <c r="E14" s="29" t="inlineStr">
        <is>
          <t>Value</t>
        </is>
      </c>
      <c r="F14" s="29" t="inlineStr">
        <is>
          <t>str</t>
        </is>
      </c>
      <c r="G14" s="29" t="inlineStr"/>
      <c r="H14" s="32" t="inlineStr">
        <is>
          <t>LOCKED</t>
        </is>
      </c>
      <c r="I14" s="29" t="inlineStr">
        <is>
          <t>Date</t>
        </is>
      </c>
      <c r="J14" s="29" t="inlineStr">
        <is>
          <t>Authority</t>
        </is>
      </c>
      <c r="K14" s="29" t="inlineStr">
        <is>
          <t>Model_Parameters_CCG_patch_2026-07-14.xlsx</t>
        </is>
      </c>
      <c r="L14" s="29" t="inlineStr">
        <is>
          <t>Parameters — CCG</t>
        </is>
      </c>
      <c r="M14" s="29" t="inlineStr"/>
      <c r="N14" s="29" t="inlineStr">
        <is>
          <t>patch merged in v2</t>
        </is>
      </c>
      <c r="O14" s="29" t="inlineStr">
        <is>
          <t>SOURCE-VERIFIED</t>
        </is>
      </c>
      <c r="P14" s="29" t="inlineStr">
        <is>
          <t>Note</t>
        </is>
      </c>
    </row>
    <row r="15">
      <c r="A15" s="29" t="inlineStr">
        <is>
          <t>CCG-HFA_ELO</t>
        </is>
      </c>
      <c r="B15" s="29" t="inlineStr">
        <is>
          <t>CCG</t>
        </is>
      </c>
      <c r="C15" s="29" t="inlineStr">
        <is>
          <t>season</t>
        </is>
      </c>
      <c r="D15" s="29" t="inlineStr">
        <is>
          <t>HFA_elo</t>
        </is>
      </c>
      <c r="E15" s="29" t="inlineStr">
        <is>
          <t>65</t>
        </is>
      </c>
      <c r="F15" s="29" t="inlineStr">
        <is>
          <t>str</t>
        </is>
      </c>
      <c r="G15" s="29" t="inlineStr"/>
      <c r="H15" s="32" t="inlineStr">
        <is>
          <t>LOCKED</t>
        </is>
      </c>
      <c r="I15" s="29" t="inlineStr">
        <is>
          <t>2026-07-14</t>
        </is>
      </c>
      <c r="J15" s="29" t="inlineStr">
        <is>
          <t>R-CCG-06 / DEF-CCG-6</t>
        </is>
      </c>
      <c r="K15" s="29" t="inlineStr">
        <is>
          <t>Model_Parameters_CCG_patch_2026-07-14.xlsx</t>
        </is>
      </c>
      <c r="L15" s="29" t="inlineStr">
        <is>
          <t>Parameters — CCG</t>
        </is>
      </c>
      <c r="M15" s="29" t="inlineStr"/>
      <c r="N15" s="29" t="inlineStr">
        <is>
          <t>patch merged in v2</t>
        </is>
      </c>
      <c r="O15" s="29" t="inlineStr">
        <is>
          <t>SOURCE-VERIFIED</t>
        </is>
      </c>
      <c r="P15" s="29" t="inlineStr">
        <is>
          <t>Elo home-field advantage. DEF-CCG-6 closed: engine default 55 aligned to ledger value 65.</t>
        </is>
      </c>
    </row>
    <row r="16">
      <c r="A16" s="29" t="inlineStr">
        <is>
          <t>CCG-CCG_SELECT</t>
        </is>
      </c>
      <c r="B16" s="29" t="inlineStr">
        <is>
          <t>CCG</t>
        </is>
      </c>
      <c r="C16" s="29" t="inlineStr">
        <is>
          <t>season</t>
        </is>
      </c>
      <c r="D16" s="29" t="inlineStr">
        <is>
          <t>ccg_select</t>
        </is>
      </c>
      <c r="E16" s="29" t="inlineStr">
        <is>
          <t>conference</t>
        </is>
      </c>
      <c r="F16" s="29" t="inlineStr">
        <is>
          <t>str</t>
        </is>
      </c>
      <c r="G16" s="29" t="inlineStr"/>
      <c r="H16" s="32" t="inlineStr">
        <is>
          <t>LOCKED</t>
        </is>
      </c>
      <c r="I16" s="29" t="inlineStr">
        <is>
          <t>2026-07-14</t>
        </is>
      </c>
      <c r="J16" s="29" t="inlineStr">
        <is>
          <t>R-CCG-01 / DEF-CCG-7</t>
        </is>
      </c>
      <c r="K16" s="29" t="inlineStr">
        <is>
          <t>Model_Parameters_CCG_patch_2026-07-14.xlsx</t>
        </is>
      </c>
      <c r="L16" s="29" t="inlineStr">
        <is>
          <t>Parameters — CCG</t>
        </is>
      </c>
      <c r="M16" s="29" t="inlineStr"/>
      <c r="N16" s="29" t="inlineStr">
        <is>
          <t>patch merged in v2</t>
        </is>
      </c>
      <c r="O16" s="29" t="inlineStr">
        <is>
          <t>SOURCE-VERIFIED</t>
        </is>
      </c>
      <c r="P16" s="29" t="inlineStr">
        <is>
          <t>CCG participant ranking axis. DEF-CCG-7 fix: was overall win% (rule violation), now conference win% per R-CCG-01.</t>
        </is>
      </c>
    </row>
    <row r="17">
      <c r="A17" s="29" t="inlineStr">
        <is>
          <t>CCG-G5_BID</t>
        </is>
      </c>
      <c r="B17" s="29" t="inlineStr">
        <is>
          <t>CCG</t>
        </is>
      </c>
      <c r="C17" s="29" t="inlineStr">
        <is>
          <t>season</t>
        </is>
      </c>
      <c r="D17" s="29" t="inlineStr">
        <is>
          <t>g5_bid</t>
        </is>
      </c>
      <c r="E17" s="29" t="inlineStr">
        <is>
          <t>champion</t>
        </is>
      </c>
      <c r="F17" s="29" t="inlineStr">
        <is>
          <t>str</t>
        </is>
      </c>
      <c r="G17" s="29" t="inlineStr"/>
      <c r="H17" s="32" t="inlineStr">
        <is>
          <t>LOCKED</t>
        </is>
      </c>
      <c r="I17" s="29" t="inlineStr">
        <is>
          <t>2026-07-14</t>
        </is>
      </c>
      <c r="J17" s="29" t="inlineStr">
        <is>
          <t>CG-8</t>
        </is>
      </c>
      <c r="K17" s="29" t="inlineStr">
        <is>
          <t>Model_Parameters_CCG_patch_2026-07-14.xlsx</t>
        </is>
      </c>
      <c r="L17" s="29" t="inlineStr">
        <is>
          <t>Parameters — CCG</t>
        </is>
      </c>
      <c r="M17" s="29" t="inlineStr"/>
      <c r="N17" s="29" t="inlineStr">
        <is>
          <t>patch merged in v2</t>
        </is>
      </c>
      <c r="O17" s="29" t="inlineStr">
        <is>
          <t>SOURCE-VERIFIED</t>
        </is>
      </c>
      <c r="P17" s="29" t="inlineStr">
        <is>
          <t>G5 auto-bid pool = G5 conference champions only. CG-8.</t>
        </is>
      </c>
    </row>
    <row r="18">
      <c r="A18" s="29" t="inlineStr">
        <is>
          <t>CCG-TB_ECL_A8</t>
        </is>
      </c>
      <c r="B18" s="29" t="inlineStr">
        <is>
          <t>CCG</t>
        </is>
      </c>
      <c r="C18" s="29" t="inlineStr">
        <is>
          <t>season</t>
        </is>
      </c>
      <c r="D18" s="29" t="inlineStr">
        <is>
          <t>tb_ecl_a8</t>
        </is>
      </c>
      <c r="E18" s="29" t="inlineStr">
        <is>
          <t>final_board</t>
        </is>
      </c>
      <c r="F18" s="29" t="inlineStr">
        <is>
          <t>str</t>
        </is>
      </c>
      <c r="G18" s="29" t="inlineStr"/>
      <c r="H18" s="32" t="inlineStr">
        <is>
          <t>LOCKED</t>
        </is>
      </c>
      <c r="I18" s="29" t="inlineStr">
        <is>
          <t>2026-07-14</t>
        </is>
      </c>
      <c r="J18" s="29" t="inlineStr">
        <is>
          <t>TB-ECL/A8</t>
        </is>
      </c>
      <c r="K18" s="29" t="inlineStr">
        <is>
          <t>Model_Parameters_CCG_patch_2026-07-14.xlsx</t>
        </is>
      </c>
      <c r="L18" s="29" t="inlineStr">
        <is>
          <t>Parameters — CCG</t>
        </is>
      </c>
      <c r="M18" s="29" t="inlineStr"/>
      <c r="N18" s="29" t="inlineStr">
        <is>
          <t>patch merged in v2</t>
        </is>
      </c>
      <c r="O18" s="29" t="inlineStr">
        <is>
          <t>SOURCE-VERIFIED</t>
        </is>
      </c>
      <c r="P18" s="29" t="inlineStr">
        <is>
          <t>ECL/A8 tiebreak uses FINAL committee ranking; other CCGs use pre-CCG board.</t>
        </is>
      </c>
    </row>
    <row r="19">
      <c r="A19" s="29" t="inlineStr">
        <is>
          <t>CCG-CCG_COUNT</t>
        </is>
      </c>
      <c r="B19" s="29" t="inlineStr">
        <is>
          <t>CCG</t>
        </is>
      </c>
      <c r="C19" s="29" t="inlineStr">
        <is>
          <t>season</t>
        </is>
      </c>
      <c r="D19" s="29" t="inlineStr">
        <is>
          <t>ccg_count</t>
        </is>
      </c>
      <c r="E19" s="29" t="inlineStr">
        <is>
          <t>7</t>
        </is>
      </c>
      <c r="F19" s="29" t="inlineStr">
        <is>
          <t>str</t>
        </is>
      </c>
      <c r="G19" s="29" t="inlineStr"/>
      <c r="H19" s="32" t="inlineStr">
        <is>
          <t>LOCKED</t>
        </is>
      </c>
      <c r="I19" s="29" t="inlineStr">
        <is>
          <t>2026-07-14</t>
        </is>
      </c>
      <c r="J19" s="29" t="inlineStr">
        <is>
          <t>R-CCG-02/03/05</t>
        </is>
      </c>
      <c r="K19" s="29" t="inlineStr">
        <is>
          <t>Model_Parameters_CCG_patch_2026-07-14.xlsx</t>
        </is>
      </c>
      <c r="L19" s="29" t="inlineStr">
        <is>
          <t>Parameters — CCG</t>
        </is>
      </c>
      <c r="M19" s="29" t="inlineStr"/>
      <c r="N19" s="29" t="inlineStr">
        <is>
          <t>patch merged in v2</t>
        </is>
      </c>
      <c r="O19" s="29" t="inlineStr">
        <is>
          <t>SOURCE-VERIFIED</t>
        </is>
      </c>
      <c r="P19" s="29" t="inlineStr">
        <is>
          <t>SEC, Big Ten, Big 12, ACC (neutral); Pac-12, MWC, American (campus host). None: Atlantic-8, ECL, Independents.</t>
        </is>
      </c>
    </row>
    <row r="20">
      <c r="A20" s="29" t="inlineStr">
        <is>
          <t>CCG-GAMES_TOTAL</t>
        </is>
      </c>
      <c r="B20" s="29" t="inlineStr">
        <is>
          <t>CCG</t>
        </is>
      </c>
      <c r="C20" s="29" t="inlineStr">
        <is>
          <t>season</t>
        </is>
      </c>
      <c r="D20" s="29" t="inlineStr">
        <is>
          <t>games_total</t>
        </is>
      </c>
      <c r="E20" s="29" t="inlineStr">
        <is>
          <t>743</t>
        </is>
      </c>
      <c r="F20" s="29" t="inlineStr">
        <is>
          <t>str</t>
        </is>
      </c>
      <c r="G20" s="29" t="inlineStr"/>
      <c r="H20" s="32" t="inlineStr">
        <is>
          <t>LOCKED</t>
        </is>
      </c>
      <c r="I20" s="29" t="inlineStr">
        <is>
          <t>2026-07-14</t>
        </is>
      </c>
      <c r="J20" s="29" t="inlineStr">
        <is>
          <t>R-CCG-03</t>
        </is>
      </c>
      <c r="K20" s="29" t="inlineStr">
        <is>
          <t>Model_Parameters_CCG_patch_2026-07-14.xlsx</t>
        </is>
      </c>
      <c r="L20" s="29" t="inlineStr">
        <is>
          <t>Parameters — CCG</t>
        </is>
      </c>
      <c r="M20" s="29" t="inlineStr"/>
      <c r="N20" s="29" t="inlineStr">
        <is>
          <t>patch merged in v2</t>
        </is>
      </c>
      <c r="O20" s="29" t="inlineStr">
        <is>
          <t>SOURCE-VERIFIED</t>
        </is>
      </c>
      <c r="P20" s="29" t="inlineStr">
        <is>
          <t>736 regular (W1-W16) + 7 CCG (W15). Schedule LOCKED v5; total unchanged from v4.</t>
        </is>
      </c>
    </row>
    <row r="21">
      <c r="A21" s="29" t="inlineStr">
        <is>
          <t>CCG-SEED</t>
        </is>
      </c>
      <c r="B21" s="29" t="inlineStr">
        <is>
          <t>CCG</t>
        </is>
      </c>
      <c r="C21" s="29" t="inlineStr">
        <is>
          <t>season</t>
        </is>
      </c>
      <c r="D21" s="29" t="inlineStr">
        <is>
          <t>seed</t>
        </is>
      </c>
      <c r="E21" s="29" t="inlineStr">
        <is>
          <t>20260714</t>
        </is>
      </c>
      <c r="F21" s="29" t="inlineStr">
        <is>
          <t>str</t>
        </is>
      </c>
      <c r="G21" s="29" t="inlineStr"/>
      <c r="H21" s="32" t="inlineStr">
        <is>
          <t>LOCKED</t>
        </is>
      </c>
      <c r="I21" s="29" t="inlineStr">
        <is>
          <t>2026-07-14</t>
        </is>
      </c>
      <c r="J21" s="29" t="inlineStr">
        <is>
          <t>carry</t>
        </is>
      </c>
      <c r="K21" s="29" t="inlineStr">
        <is>
          <t>Model_Parameters_CCG_patch_2026-07-14.xlsx</t>
        </is>
      </c>
      <c r="L21" s="29" t="inlineStr">
        <is>
          <t>Parameters — CCG</t>
        </is>
      </c>
      <c r="M21" s="29" t="inlineStr"/>
      <c r="N21" s="29" t="inlineStr">
        <is>
          <t>patch merged in v2</t>
        </is>
      </c>
      <c r="O21" s="29" t="inlineStr">
        <is>
          <t>SOURCE-VERIFIED</t>
        </is>
      </c>
      <c r="P21" s="29" t="inlineStr">
        <is>
          <t>MC RNG seed (unchanged).</t>
        </is>
      </c>
    </row>
    <row r="22">
      <c r="A22" s="29" t="inlineStr">
        <is>
          <t>CCG-ITERATIONS</t>
        </is>
      </c>
      <c r="B22" s="29" t="inlineStr">
        <is>
          <t>CCG</t>
        </is>
      </c>
      <c r="C22" s="29" t="inlineStr">
        <is>
          <t>season</t>
        </is>
      </c>
      <c r="D22" s="29" t="inlineStr">
        <is>
          <t>iterations</t>
        </is>
      </c>
      <c r="E22" s="29" t="inlineStr">
        <is>
          <t>8000</t>
        </is>
      </c>
      <c r="F22" s="29" t="inlineStr">
        <is>
          <t>str</t>
        </is>
      </c>
      <c r="G22" s="29" t="inlineStr"/>
      <c r="H22" s="32" t="inlineStr">
        <is>
          <t>LOCKED</t>
        </is>
      </c>
      <c r="I22" s="29" t="inlineStr">
        <is>
          <t>2026-07-14</t>
        </is>
      </c>
      <c r="J22" s="29" t="inlineStr">
        <is>
          <t>carry</t>
        </is>
      </c>
      <c r="K22" s="29" t="inlineStr">
        <is>
          <t>Model_Parameters_CCG_patch_2026-07-14.xlsx</t>
        </is>
      </c>
      <c r="L22" s="29" t="inlineStr">
        <is>
          <t>Parameters — CCG</t>
        </is>
      </c>
      <c r="M22" s="29" t="inlineStr"/>
      <c r="N22" s="29" t="inlineStr">
        <is>
          <t>patch merged in v2</t>
        </is>
      </c>
      <c r="O22" s="29" t="inlineStr">
        <is>
          <t>SOURCE-VERIFIED</t>
        </is>
      </c>
      <c r="P22" s="29" t="inlineStr">
        <is>
          <t>Hardened MC iterations (unchanged).</t>
        </is>
      </c>
    </row>
    <row r="23">
      <c r="A23" s="29" t="inlineStr">
        <is>
          <t>CCG-KAPPA</t>
        </is>
      </c>
      <c r="B23" s="29" t="inlineStr">
        <is>
          <t>CCG</t>
        </is>
      </c>
      <c r="C23" s="29" t="inlineStr">
        <is>
          <t>season</t>
        </is>
      </c>
      <c r="D23" s="29" t="inlineStr">
        <is>
          <t>kappa</t>
        </is>
      </c>
      <c r="E23" s="29" t="inlineStr">
        <is>
          <t>0.85</t>
        </is>
      </c>
      <c r="F23" s="29" t="inlineStr">
        <is>
          <t>str</t>
        </is>
      </c>
      <c r="G23" s="29" t="inlineStr"/>
      <c r="H23" s="32" t="inlineStr">
        <is>
          <t>LOCKED</t>
        </is>
      </c>
      <c r="I23" s="29" t="inlineStr">
        <is>
          <t>2026-07-14</t>
        </is>
      </c>
      <c r="J23" s="29" t="inlineStr">
        <is>
          <t>carry</t>
        </is>
      </c>
      <c r="K23" s="29" t="inlineStr">
        <is>
          <t>Model_Parameters_CCG_patch_2026-07-14.xlsx</t>
        </is>
      </c>
      <c r="L23" s="29" t="inlineStr">
        <is>
          <t>Parameters — CCG</t>
        </is>
      </c>
      <c r="M23" s="29" t="inlineStr"/>
      <c r="N23" s="29" t="inlineStr">
        <is>
          <t>patch merged in v2</t>
        </is>
      </c>
      <c r="O23" s="29" t="inlineStr">
        <is>
          <t>SOURCE-VERIFIED</t>
        </is>
      </c>
      <c r="P23" s="29" t="inlineStr">
        <is>
          <t>SOR/power blend (unchanged; back-calculated 2025).</t>
        </is>
      </c>
    </row>
    <row r="24">
      <c r="A24" s="29" t="inlineStr">
        <is>
          <t>CCG-SIGMA_ELO</t>
        </is>
      </c>
      <c r="B24" s="29" t="inlineStr">
        <is>
          <t>CCG</t>
        </is>
      </c>
      <c r="C24" s="29" t="inlineStr">
        <is>
          <t>season</t>
        </is>
      </c>
      <c r="D24" s="29" t="inlineStr">
        <is>
          <t>sigma_elo</t>
        </is>
      </c>
      <c r="E24" s="29" t="inlineStr">
        <is>
          <t>68</t>
        </is>
      </c>
      <c r="F24" s="29" t="inlineStr">
        <is>
          <t>str</t>
        </is>
      </c>
      <c r="G24" s="29" t="inlineStr"/>
      <c r="H24" s="32" t="inlineStr">
        <is>
          <t>LOCKED</t>
        </is>
      </c>
      <c r="I24" s="29" t="inlineStr">
        <is>
          <t>2026-07-14</t>
        </is>
      </c>
      <c r="J24" s="29" t="inlineStr">
        <is>
          <t>carry</t>
        </is>
      </c>
      <c r="K24" s="29" t="inlineStr">
        <is>
          <t>Model_Parameters_CCG_patch_2026-07-14.xlsx</t>
        </is>
      </c>
      <c r="L24" s="29" t="inlineStr">
        <is>
          <t>Parameters — CCG</t>
        </is>
      </c>
      <c r="M24" s="29" t="inlineStr"/>
      <c r="N24" s="29" t="inlineStr">
        <is>
          <t>patch merged in v2</t>
        </is>
      </c>
      <c r="O24" s="29" t="inlineStr">
        <is>
          <t>SOURCE-VERIFIED</t>
        </is>
      </c>
      <c r="P24" s="29" t="inlineStr">
        <is>
          <t>Rating uncertainty per iteration (unchanged).</t>
        </is>
      </c>
    </row>
    <row r="25">
      <c r="A25" s="29" t="inlineStr">
        <is>
          <t>CCG-R_REF</t>
        </is>
      </c>
      <c r="B25" s="29" t="inlineStr">
        <is>
          <t>CCG</t>
        </is>
      </c>
      <c r="C25" s="29" t="inlineStr">
        <is>
          <t>season</t>
        </is>
      </c>
      <c r="D25" s="29" t="inlineStr">
        <is>
          <t>r_ref</t>
        </is>
      </c>
      <c r="E25" s="29" t="inlineStr">
        <is>
          <t>1893.3</t>
        </is>
      </c>
      <c r="F25" s="29" t="inlineStr">
        <is>
          <t>str</t>
        </is>
      </c>
      <c r="G25" s="29" t="inlineStr"/>
      <c r="H25" s="32" t="inlineStr">
        <is>
          <t>LOCKED</t>
        </is>
      </c>
      <c r="I25" s="29" t="inlineStr">
        <is>
          <t>2026-07-14</t>
        </is>
      </c>
      <c r="J25" s="29" t="inlineStr">
        <is>
          <t>carry</t>
        </is>
      </c>
      <c r="K25" s="29" t="inlineStr">
        <is>
          <t>Model_Parameters_CCG_patch_2026-07-14.xlsx</t>
        </is>
      </c>
      <c r="L25" s="29" t="inlineStr">
        <is>
          <t>Parameters — CCG</t>
        </is>
      </c>
      <c r="M25" s="29" t="inlineStr"/>
      <c r="N25" s="29" t="inlineStr">
        <is>
          <t>patch merged in v2</t>
        </is>
      </c>
      <c r="O25" s="29" t="inlineStr">
        <is>
          <t>SOURCE-VERIFIED</t>
        </is>
      </c>
      <c r="P25" s="29" t="inlineStr">
        <is>
          <t>SOR reference Elo (unchanged).</t>
        </is>
      </c>
    </row>
    <row r="26">
      <c r="A26" s="29" t="inlineStr">
        <is>
          <t>TV-FIREWALL</t>
        </is>
      </c>
      <c r="B26" s="29" t="inlineStr">
        <is>
          <t>TV</t>
        </is>
      </c>
      <c r="C26" s="29" t="inlineStr">
        <is>
          <t>carriage</t>
        </is>
      </c>
      <c r="D26" s="29" t="inlineStr">
        <is>
          <t>tv_rating_firewall</t>
        </is>
      </c>
      <c r="E26" s="29" t="inlineStr">
        <is>
          <t>schedule_only</t>
        </is>
      </c>
      <c r="F26" s="29" t="inlineStr">
        <is>
          <t>str</t>
        </is>
      </c>
      <c r="G26" s="29" t="inlineStr"/>
      <c r="H26" s="32" t="inlineStr">
        <is>
          <t>LOCKED</t>
        </is>
      </c>
      <c r="I26" s="29" t="inlineStr">
        <is>
          <t>2026-07-18</t>
        </is>
      </c>
      <c r="J26" s="29" t="inlineStr">
        <is>
          <t>R-TV-FIREWALL-01</t>
        </is>
      </c>
      <c r="K26" s="29" t="inlineStr">
        <is>
          <t>Model Parameters TV patch 2026-07-18 v2.xlsx</t>
        </is>
      </c>
      <c r="L26" s="29" t="inlineStr">
        <is>
          <t>TV_Rulings</t>
        </is>
      </c>
      <c r="M26" s="29" t="inlineStr"/>
      <c r="N26" s="29" t="inlineStr">
        <is>
          <t>patch merged in v2</t>
        </is>
      </c>
      <c r="O26" s="29" t="inlineStr">
        <is>
          <t>SOURCE-VERIFIED</t>
        </is>
      </c>
      <c r="P26" s="29" t="inlineStr">
        <is>
          <t>No polls, standings, ratings, or Board inputs</t>
        </is>
      </c>
    </row>
    <row r="27">
      <c r="A27" s="29" t="inlineStr">
        <is>
          <t>TV-HOME-RULE</t>
        </is>
      </c>
      <c r="B27" s="29" t="inlineStr">
        <is>
          <t>TV</t>
        </is>
      </c>
      <c r="C27" s="29" t="inlineStr">
        <is>
          <t>carriage</t>
        </is>
      </c>
      <c r="D27" s="29" t="inlineStr">
        <is>
          <t>home_package_governs</t>
        </is>
      </c>
      <c r="E27" s="29" t="inlineStr">
        <is>
          <t>true</t>
        </is>
      </c>
      <c r="F27" s="29" t="inlineStr">
        <is>
          <t>str</t>
        </is>
      </c>
      <c r="G27" s="29" t="inlineStr"/>
      <c r="H27" s="32" t="inlineStr">
        <is>
          <t>LOCKED</t>
        </is>
      </c>
      <c r="I27" s="29" t="inlineStr">
        <is>
          <t>2026-07-18</t>
        </is>
      </c>
      <c r="J27" s="29" t="inlineStr">
        <is>
          <t>R-TV-HOME-01</t>
        </is>
      </c>
      <c r="K27" s="29" t="inlineStr">
        <is>
          <t>Model Parameters TV patch 2026-07-18 v2.xlsx</t>
        </is>
      </c>
      <c r="L27" s="29" t="inlineStr">
        <is>
          <t>TV_Rulings</t>
        </is>
      </c>
      <c r="M27" s="29" t="inlineStr"/>
      <c r="N27" s="29" t="inlineStr">
        <is>
          <t>patch merged in v2</t>
        </is>
      </c>
      <c r="O27" s="29" t="inlineStr">
        <is>
          <t>SOURCE-VERIFIED</t>
        </is>
      </c>
      <c r="P27" s="29" t="inlineStr">
        <is>
          <t>Notre Dame exception</t>
        </is>
      </c>
    </row>
    <row r="28">
      <c r="A28" s="29" t="inlineStr">
        <is>
          <t>TV-NOSPILL</t>
        </is>
      </c>
      <c r="B28" s="29" t="inlineStr">
        <is>
          <t>TV</t>
        </is>
      </c>
      <c r="C28" s="29" t="inlineStr">
        <is>
          <t>carriage</t>
        </is>
      </c>
      <c r="D28" s="29" t="inlineStr">
        <is>
          <t>subbrand_spillover</t>
        </is>
      </c>
      <c r="E28" s="29" t="inlineStr">
        <is>
          <t>false</t>
        </is>
      </c>
      <c r="F28" s="29" t="inlineStr">
        <is>
          <t>str</t>
        </is>
      </c>
      <c r="G28" s="29" t="inlineStr"/>
      <c r="H28" s="32" t="inlineStr">
        <is>
          <t>LOCKED</t>
        </is>
      </c>
      <c r="I28" s="29" t="inlineStr">
        <is>
          <t>2026-07-18</t>
        </is>
      </c>
      <c r="J28" s="29" t="inlineStr">
        <is>
          <t>R-TV-NOSPILL-01</t>
        </is>
      </c>
      <c r="K28" s="29" t="inlineStr">
        <is>
          <t>Model Parameters TV patch 2026-07-18 v2.xlsx</t>
        </is>
      </c>
      <c r="L28" s="29" t="inlineStr">
        <is>
          <t>TV_Rulings</t>
        </is>
      </c>
      <c r="M28" s="29" t="inlineStr"/>
      <c r="N28" s="29" t="inlineStr">
        <is>
          <t>patch merged in v2</t>
        </is>
      </c>
      <c r="O28" s="29" t="inlineStr">
        <is>
          <t>SOURCE-VERIFIED</t>
        </is>
      </c>
      <c r="P28" s="29" t="inlineStr">
        <is>
          <t>Only explicitly named outlets available</t>
        </is>
      </c>
    </row>
    <row r="29">
      <c r="A29" s="29" t="inlineStr">
        <is>
          <t>TV-TNT-COUNT</t>
        </is>
      </c>
      <c r="B29" s="29" t="inlineStr">
        <is>
          <t>TV</t>
        </is>
      </c>
      <c r="C29" s="29" t="inlineStr">
        <is>
          <t>carriage</t>
        </is>
      </c>
      <c r="D29" s="29" t="inlineStr">
        <is>
          <t>big12_tnt_weekly_count</t>
        </is>
      </c>
      <c r="E29" s="35" t="n">
        <v>1</v>
      </c>
      <c r="F29" s="29" t="inlineStr">
        <is>
          <t>int</t>
        </is>
      </c>
      <c r="G29" s="29" t="inlineStr"/>
      <c r="H29" s="32" t="inlineStr">
        <is>
          <t>LOCKED</t>
        </is>
      </c>
      <c r="I29" s="29" t="inlineStr">
        <is>
          <t>2026-07-18</t>
        </is>
      </c>
      <c r="J29" s="29" t="inlineStr">
        <is>
          <t>R-TV-CAP-02</t>
        </is>
      </c>
      <c r="K29" s="29" t="inlineStr">
        <is>
          <t>Model Parameters TV patch 2026-07-18 v2.xlsx</t>
        </is>
      </c>
      <c r="L29" s="29" t="inlineStr">
        <is>
          <t>TV_Rulings</t>
        </is>
      </c>
      <c r="M29" s="29" t="inlineStr"/>
      <c r="N29" s="29" t="inlineStr">
        <is>
          <t>patch merged in v2</t>
        </is>
      </c>
      <c r="O29" s="29" t="inlineStr">
        <is>
          <t>SOURCE-VERIFIED</t>
        </is>
      </c>
      <c r="P29" s="29" t="inlineStr">
        <is>
          <t>Fixed obligation</t>
        </is>
      </c>
    </row>
    <row r="30">
      <c r="A30" s="29" t="inlineStr">
        <is>
          <t>TV-USA-CEILING</t>
        </is>
      </c>
      <c r="B30" s="29" t="inlineStr">
        <is>
          <t>TV</t>
        </is>
      </c>
      <c r="C30" s="29" t="inlineStr">
        <is>
          <t>carriage</t>
        </is>
      </c>
      <c r="D30" s="29" t="inlineStr">
        <is>
          <t>pac12_usa_weekly_ceiling</t>
        </is>
      </c>
      <c r="E30" s="35" t="n">
        <v>2</v>
      </c>
      <c r="F30" s="29" t="inlineStr">
        <is>
          <t>int</t>
        </is>
      </c>
      <c r="G30" s="29" t="inlineStr"/>
      <c r="H30" s="32" t="inlineStr">
        <is>
          <t>LOCKED</t>
        </is>
      </c>
      <c r="I30" s="29" t="inlineStr">
        <is>
          <t>2026-07-18</t>
        </is>
      </c>
      <c r="J30" s="29" t="inlineStr">
        <is>
          <t>R-TV-CEIL-01</t>
        </is>
      </c>
      <c r="K30" s="29" t="inlineStr">
        <is>
          <t>Model Parameters TV patch 2026-07-18 v2.xlsx</t>
        </is>
      </c>
      <c r="L30" s="29" t="inlineStr">
        <is>
          <t>TV_Rulings</t>
        </is>
      </c>
      <c r="M30" s="29" t="inlineStr"/>
      <c r="N30" s="29" t="inlineStr">
        <is>
          <t>patch merged in v2</t>
        </is>
      </c>
      <c r="O30" s="29" t="inlineStr">
        <is>
          <t>SOURCE-VERIFIED</t>
        </is>
      </c>
      <c r="P30" s="29" t="inlineStr">
        <is>
          <t>Ceiling, not obligation</t>
        </is>
      </c>
    </row>
    <row r="31">
      <c r="A31" s="29" t="inlineStr">
        <is>
          <t>TV-BTSN</t>
        </is>
      </c>
      <c r="B31" s="29" t="inlineStr">
        <is>
          <t>TV</t>
        </is>
      </c>
      <c r="C31" s="29" t="inlineStr">
        <is>
          <t>carriage</t>
        </is>
      </c>
      <c r="D31" s="29" t="inlineStr">
        <is>
          <t>btsn_weekly_count</t>
        </is>
      </c>
      <c r="E31" s="35" t="n">
        <v>1</v>
      </c>
      <c r="F31" s="29" t="inlineStr">
        <is>
          <t>int</t>
        </is>
      </c>
      <c r="G31" s="29" t="inlineStr"/>
      <c r="H31" s="32" t="inlineStr">
        <is>
          <t>LOCKED</t>
        </is>
      </c>
      <c r="I31" s="29" t="inlineStr">
        <is>
          <t>2026-07-18</t>
        </is>
      </c>
      <c r="J31" s="29" t="inlineStr">
        <is>
          <t>R-TV-BTSN-01</t>
        </is>
      </c>
      <c r="K31" s="29" t="inlineStr">
        <is>
          <t>Model Parameters TV patch 2026-07-18 v2.xlsx</t>
        </is>
      </c>
      <c r="L31" s="29" t="inlineStr">
        <is>
          <t>TV_Rulings</t>
        </is>
      </c>
      <c r="M31" s="29" t="inlineStr"/>
      <c r="N31" s="29" t="inlineStr">
        <is>
          <t>patch merged in v2</t>
        </is>
      </c>
      <c r="O31" s="29" t="inlineStr">
        <is>
          <t>SOURCE-VERIFIED</t>
        </is>
      </c>
      <c r="P31" s="29" t="inlineStr">
        <is>
          <t>Manual Chairman selection</t>
        </is>
      </c>
    </row>
    <row r="32">
      <c r="A32" s="29" t="inlineStr">
        <is>
          <t>TV-CASCADE</t>
        </is>
      </c>
      <c r="B32" s="29" t="inlineStr">
        <is>
          <t>TV</t>
        </is>
      </c>
      <c r="C32" s="29" t="inlineStr">
        <is>
          <t>carriage</t>
        </is>
      </c>
      <c r="D32" s="29" t="inlineStr">
        <is>
          <t>unplaceable_games</t>
        </is>
      </c>
      <c r="E32" s="29" t="inlineStr">
        <is>
          <t>NEEDS-RULING</t>
        </is>
      </c>
      <c r="F32" s="29" t="inlineStr">
        <is>
          <t>str</t>
        </is>
      </c>
      <c r="G32" s="29" t="inlineStr"/>
      <c r="H32" s="32" t="inlineStr">
        <is>
          <t>LOCKED</t>
        </is>
      </c>
      <c r="I32" s="29" t="inlineStr">
        <is>
          <t>2026-07-18</t>
        </is>
      </c>
      <c r="J32" s="29" t="inlineStr">
        <is>
          <t>R-TV-CASCADE-HOLD-01</t>
        </is>
      </c>
      <c r="K32" s="29" t="inlineStr">
        <is>
          <t>Model Parameters TV patch 2026-07-18 v2.xlsx</t>
        </is>
      </c>
      <c r="L32" s="29" t="inlineStr">
        <is>
          <t>TV_Rulings</t>
        </is>
      </c>
      <c r="M32" s="29" t="inlineStr"/>
      <c r="N32" s="29" t="inlineStr">
        <is>
          <t>patch merged in v2</t>
        </is>
      </c>
      <c r="O32" s="29" t="inlineStr">
        <is>
          <t>SOURCE-VERIFIED</t>
        </is>
      </c>
      <c r="P32" s="29" t="inlineStr">
        <is>
          <t>Leave unassigned for manual slotting</t>
        </is>
      </c>
    </row>
    <row r="33">
      <c r="A33" s="29" t="inlineStr">
        <is>
          <t>LEGACY-DRIVE_P_TD</t>
        </is>
      </c>
      <c r="B33" s="29" t="inlineStr">
        <is>
          <t>GAME_ENGINE</t>
        </is>
      </c>
      <c r="C33" s="29" t="inlineStr">
        <is>
          <t>legacy</t>
        </is>
      </c>
      <c r="D33" s="29" t="inlineStr">
        <is>
          <t>DRIVE_P_TD</t>
        </is>
      </c>
      <c r="E33" s="29" t="inlineStr"/>
      <c r="F33" s="29" t="inlineStr">
        <is>
          <t>unknown</t>
        </is>
      </c>
      <c r="G33" s="29" t="inlineStr"/>
      <c r="H33" s="30" t="inlineStr">
        <is>
          <t>PLACEHOLDER</t>
        </is>
      </c>
      <c r="I33" s="29" t="inlineStr">
        <is>
          <t>2026-07-22</t>
        </is>
      </c>
      <c r="J33" s="29" t="inlineStr"/>
      <c r="K33" s="29" t="inlineStr">
        <is>
          <t>Model Parameters.xlsx</t>
        </is>
      </c>
      <c r="L33" s="29" t="inlineStr">
        <is>
          <t>ENGINE_PARAMS/COMMITTEE</t>
        </is>
      </c>
      <c r="M33" s="29" t="inlineStr"/>
      <c r="N33" s="29" t="inlineStr">
        <is>
          <t>not load-ready</t>
        </is>
      </c>
      <c r="O33" s="29" t="inlineStr">
        <is>
          <t>UNVALIDATED</t>
        </is>
      </c>
      <c r="P33" s="29" t="inlineStr">
        <is>
          <t>Exact source value still required</t>
        </is>
      </c>
    </row>
    <row r="34">
      <c r="A34" s="29" t="inlineStr">
        <is>
          <t>LEGACY-DRIVE_P_FG_ATT</t>
        </is>
      </c>
      <c r="B34" s="29" t="inlineStr">
        <is>
          <t>GAME_ENGINE</t>
        </is>
      </c>
      <c r="C34" s="29" t="inlineStr">
        <is>
          <t>legacy</t>
        </is>
      </c>
      <c r="D34" s="29" t="inlineStr">
        <is>
          <t>DRIVE_P_FG_ATT</t>
        </is>
      </c>
      <c r="E34" s="29" t="inlineStr"/>
      <c r="F34" s="29" t="inlineStr">
        <is>
          <t>unknown</t>
        </is>
      </c>
      <c r="G34" s="29" t="inlineStr"/>
      <c r="H34" s="30" t="inlineStr">
        <is>
          <t>PLACEHOLDER</t>
        </is>
      </c>
      <c r="I34" s="29" t="inlineStr">
        <is>
          <t>2026-07-22</t>
        </is>
      </c>
      <c r="J34" s="29" t="inlineStr"/>
      <c r="K34" s="29" t="inlineStr">
        <is>
          <t>Model Parameters.xlsx</t>
        </is>
      </c>
      <c r="L34" s="29" t="inlineStr">
        <is>
          <t>ENGINE_PARAMS/COMMITTEE</t>
        </is>
      </c>
      <c r="M34" s="29" t="inlineStr"/>
      <c r="N34" s="29" t="inlineStr">
        <is>
          <t>not load-ready</t>
        </is>
      </c>
      <c r="O34" s="29" t="inlineStr">
        <is>
          <t>UNVALIDATED</t>
        </is>
      </c>
      <c r="P34" s="29" t="inlineStr">
        <is>
          <t>Exact source value still required</t>
        </is>
      </c>
    </row>
    <row r="35">
      <c r="A35" s="29" t="inlineStr">
        <is>
          <t>LEGACY-FG_MAKE_RATE</t>
        </is>
      </c>
      <c r="B35" s="29" t="inlineStr">
        <is>
          <t>GAME_ENGINE</t>
        </is>
      </c>
      <c r="C35" s="29" t="inlineStr">
        <is>
          <t>legacy</t>
        </is>
      </c>
      <c r="D35" s="29" t="inlineStr">
        <is>
          <t>FG_MAKE_RATE</t>
        </is>
      </c>
      <c r="E35" s="29" t="inlineStr"/>
      <c r="F35" s="29" t="inlineStr">
        <is>
          <t>unknown</t>
        </is>
      </c>
      <c r="G35" s="29" t="inlineStr"/>
      <c r="H35" s="30" t="inlineStr">
        <is>
          <t>PLACEHOLDER</t>
        </is>
      </c>
      <c r="I35" s="29" t="inlineStr">
        <is>
          <t>2026-07-22</t>
        </is>
      </c>
      <c r="J35" s="29" t="inlineStr"/>
      <c r="K35" s="29" t="inlineStr">
        <is>
          <t>Model Parameters.xlsx</t>
        </is>
      </c>
      <c r="L35" s="29" t="inlineStr">
        <is>
          <t>ENGINE_PARAMS/COMMITTEE</t>
        </is>
      </c>
      <c r="M35" s="29" t="inlineStr"/>
      <c r="N35" s="29" t="inlineStr">
        <is>
          <t>not load-ready</t>
        </is>
      </c>
      <c r="O35" s="29" t="inlineStr">
        <is>
          <t>UNVALIDATED</t>
        </is>
      </c>
      <c r="P35" s="29" t="inlineStr">
        <is>
          <t>Exact source value still required</t>
        </is>
      </c>
    </row>
    <row r="36">
      <c r="A36" s="29" t="inlineStr">
        <is>
          <t>LEGACY-DRIVE_P_TURNOVER</t>
        </is>
      </c>
      <c r="B36" s="29" t="inlineStr">
        <is>
          <t>GAME_ENGINE</t>
        </is>
      </c>
      <c r="C36" s="29" t="inlineStr">
        <is>
          <t>legacy</t>
        </is>
      </c>
      <c r="D36" s="29" t="inlineStr">
        <is>
          <t>DRIVE_P_TURNOVER</t>
        </is>
      </c>
      <c r="E36" s="29" t="inlineStr"/>
      <c r="F36" s="29" t="inlineStr">
        <is>
          <t>unknown</t>
        </is>
      </c>
      <c r="G36" s="29" t="inlineStr"/>
      <c r="H36" s="30" t="inlineStr">
        <is>
          <t>PLACEHOLDER</t>
        </is>
      </c>
      <c r="I36" s="29" t="inlineStr">
        <is>
          <t>2026-07-22</t>
        </is>
      </c>
      <c r="J36" s="29" t="inlineStr"/>
      <c r="K36" s="29" t="inlineStr">
        <is>
          <t>Model Parameters.xlsx</t>
        </is>
      </c>
      <c r="L36" s="29" t="inlineStr">
        <is>
          <t>ENGINE_PARAMS/COMMITTEE</t>
        </is>
      </c>
      <c r="M36" s="29" t="inlineStr"/>
      <c r="N36" s="29" t="inlineStr">
        <is>
          <t>not load-ready</t>
        </is>
      </c>
      <c r="O36" s="29" t="inlineStr">
        <is>
          <t>UNVALIDATED</t>
        </is>
      </c>
      <c r="P36" s="29" t="inlineStr">
        <is>
          <t>Exact source value still required</t>
        </is>
      </c>
    </row>
    <row r="37">
      <c r="A37" s="29" t="inlineStr">
        <is>
          <t>LEGACY-DRIVE_TIME_MEAN</t>
        </is>
      </c>
      <c r="B37" s="29" t="inlineStr">
        <is>
          <t>GAME_ENGINE</t>
        </is>
      </c>
      <c r="C37" s="29" t="inlineStr">
        <is>
          <t>legacy</t>
        </is>
      </c>
      <c r="D37" s="29" t="inlineStr">
        <is>
          <t>DRIVE_TIME_MEAN</t>
        </is>
      </c>
      <c r="E37" s="29" t="inlineStr"/>
      <c r="F37" s="29" t="inlineStr">
        <is>
          <t>unknown</t>
        </is>
      </c>
      <c r="G37" s="29" t="inlineStr"/>
      <c r="H37" s="30" t="inlineStr">
        <is>
          <t>PLACEHOLDER</t>
        </is>
      </c>
      <c r="I37" s="29" t="inlineStr">
        <is>
          <t>2026-07-22</t>
        </is>
      </c>
      <c r="J37" s="29" t="inlineStr"/>
      <c r="K37" s="29" t="inlineStr">
        <is>
          <t>Model Parameters.xlsx</t>
        </is>
      </c>
      <c r="L37" s="29" t="inlineStr">
        <is>
          <t>ENGINE_PARAMS/COMMITTEE</t>
        </is>
      </c>
      <c r="M37" s="29" t="inlineStr"/>
      <c r="N37" s="29" t="inlineStr">
        <is>
          <t>not load-ready</t>
        </is>
      </c>
      <c r="O37" s="29" t="inlineStr">
        <is>
          <t>UNVALIDATED</t>
        </is>
      </c>
      <c r="P37" s="29" t="inlineStr">
        <is>
          <t>Exact source value still required</t>
        </is>
      </c>
    </row>
    <row r="38">
      <c r="A38" s="29" t="inlineStr">
        <is>
          <t>LEGACY-DRIVE_TIME_SD</t>
        </is>
      </c>
      <c r="B38" s="29" t="inlineStr">
        <is>
          <t>GAME_ENGINE</t>
        </is>
      </c>
      <c r="C38" s="29" t="inlineStr">
        <is>
          <t>legacy</t>
        </is>
      </c>
      <c r="D38" s="29" t="inlineStr">
        <is>
          <t>DRIVE_TIME_SD</t>
        </is>
      </c>
      <c r="E38" s="29" t="inlineStr"/>
      <c r="F38" s="29" t="inlineStr">
        <is>
          <t>unknown</t>
        </is>
      </c>
      <c r="G38" s="29" t="inlineStr"/>
      <c r="H38" s="30" t="inlineStr">
        <is>
          <t>PLACEHOLDER</t>
        </is>
      </c>
      <c r="I38" s="29" t="inlineStr">
        <is>
          <t>2026-07-22</t>
        </is>
      </c>
      <c r="J38" s="29" t="inlineStr"/>
      <c r="K38" s="29" t="inlineStr">
        <is>
          <t>Model Parameters.xlsx</t>
        </is>
      </c>
      <c r="L38" s="29" t="inlineStr">
        <is>
          <t>ENGINE_PARAMS/COMMITTEE</t>
        </is>
      </c>
      <c r="M38" s="29" t="inlineStr"/>
      <c r="N38" s="29" t="inlineStr">
        <is>
          <t>not load-ready</t>
        </is>
      </c>
      <c r="O38" s="29" t="inlineStr">
        <is>
          <t>UNVALIDATED</t>
        </is>
      </c>
      <c r="P38" s="29" t="inlineStr">
        <is>
          <t>Exact source value still required</t>
        </is>
      </c>
    </row>
    <row r="39">
      <c r="A39" s="29" t="inlineStr">
        <is>
          <t>LEGACY-TWO_PT_CONV_RATE</t>
        </is>
      </c>
      <c r="B39" s="29" t="inlineStr">
        <is>
          <t>GAME_ENGINE</t>
        </is>
      </c>
      <c r="C39" s="29" t="inlineStr">
        <is>
          <t>legacy</t>
        </is>
      </c>
      <c r="D39" s="29" t="inlineStr">
        <is>
          <t>TWO_PT_CONV_RATE</t>
        </is>
      </c>
      <c r="E39" s="29" t="inlineStr"/>
      <c r="F39" s="29" t="inlineStr">
        <is>
          <t>unknown</t>
        </is>
      </c>
      <c r="G39" s="29" t="inlineStr"/>
      <c r="H39" s="30" t="inlineStr">
        <is>
          <t>PLACEHOLDER</t>
        </is>
      </c>
      <c r="I39" s="29" t="inlineStr">
        <is>
          <t>2026-07-22</t>
        </is>
      </c>
      <c r="J39" s="29" t="inlineStr"/>
      <c r="K39" s="29" t="inlineStr">
        <is>
          <t>Model Parameters.xlsx</t>
        </is>
      </c>
      <c r="L39" s="29" t="inlineStr">
        <is>
          <t>ENGINE_PARAMS/COMMITTEE</t>
        </is>
      </c>
      <c r="M39" s="29" t="inlineStr"/>
      <c r="N39" s="29" t="inlineStr">
        <is>
          <t>not load-ready</t>
        </is>
      </c>
      <c r="O39" s="29" t="inlineStr">
        <is>
          <t>UNVALIDATED</t>
        </is>
      </c>
      <c r="P39" s="29" t="inlineStr">
        <is>
          <t>Exact source value still required</t>
        </is>
      </c>
    </row>
    <row r="40">
      <c r="A40" s="29" t="inlineStr">
        <is>
          <t>LEGACY-XP_MAKE_RATE</t>
        </is>
      </c>
      <c r="B40" s="29" t="inlineStr">
        <is>
          <t>GAME_ENGINE</t>
        </is>
      </c>
      <c r="C40" s="29" t="inlineStr">
        <is>
          <t>legacy</t>
        </is>
      </c>
      <c r="D40" s="29" t="inlineStr">
        <is>
          <t>XP_MAKE_RATE</t>
        </is>
      </c>
      <c r="E40" s="29" t="inlineStr"/>
      <c r="F40" s="29" t="inlineStr">
        <is>
          <t>unknown</t>
        </is>
      </c>
      <c r="G40" s="29" t="inlineStr"/>
      <c r="H40" s="30" t="inlineStr">
        <is>
          <t>PLACEHOLDER</t>
        </is>
      </c>
      <c r="I40" s="29" t="inlineStr">
        <is>
          <t>2026-07-22</t>
        </is>
      </c>
      <c r="J40" s="29" t="inlineStr"/>
      <c r="K40" s="29" t="inlineStr">
        <is>
          <t>Model Parameters.xlsx</t>
        </is>
      </c>
      <c r="L40" s="29" t="inlineStr">
        <is>
          <t>ENGINE_PARAMS/COMMITTEE</t>
        </is>
      </c>
      <c r="M40" s="29" t="inlineStr"/>
      <c r="N40" s="29" t="inlineStr">
        <is>
          <t>not load-ready</t>
        </is>
      </c>
      <c r="O40" s="29" t="inlineStr">
        <is>
          <t>UNVALIDATED</t>
        </is>
      </c>
      <c r="P40" s="29" t="inlineStr">
        <is>
          <t>Exact source value still required</t>
        </is>
      </c>
    </row>
    <row r="41">
      <c r="A41" s="29" t="inlineStr">
        <is>
          <t>LEGACY-CAF_RANGE</t>
        </is>
      </c>
      <c r="B41" s="29" t="inlineStr">
        <is>
          <t>GAME_ENGINE</t>
        </is>
      </c>
      <c r="C41" s="29" t="inlineStr">
        <is>
          <t>legacy</t>
        </is>
      </c>
      <c r="D41" s="29" t="inlineStr">
        <is>
          <t>CAF_RANGE</t>
        </is>
      </c>
      <c r="E41" s="29" t="inlineStr"/>
      <c r="F41" s="29" t="inlineStr">
        <is>
          <t>unknown</t>
        </is>
      </c>
      <c r="G41" s="29" t="inlineStr"/>
      <c r="H41" s="30" t="inlineStr">
        <is>
          <t>PLACEHOLDER</t>
        </is>
      </c>
      <c r="I41" s="29" t="inlineStr">
        <is>
          <t>2026-07-22</t>
        </is>
      </c>
      <c r="J41" s="29" t="inlineStr"/>
      <c r="K41" s="29" t="inlineStr">
        <is>
          <t>Model Parameters.xlsx</t>
        </is>
      </c>
      <c r="L41" s="29" t="inlineStr">
        <is>
          <t>ENGINE_PARAMS/COMMITTEE</t>
        </is>
      </c>
      <c r="M41" s="29" t="inlineStr"/>
      <c r="N41" s="29" t="inlineStr">
        <is>
          <t>not load-ready</t>
        </is>
      </c>
      <c r="O41" s="29" t="inlineStr">
        <is>
          <t>UNVALIDATED</t>
        </is>
      </c>
      <c r="P41" s="29" t="inlineStr">
        <is>
          <t>Exact source value still required</t>
        </is>
      </c>
    </row>
    <row r="42">
      <c r="A42" s="29" t="inlineStr">
        <is>
          <t>PCV3-RSCH-COMEBACK-01</t>
        </is>
      </c>
      <c r="B42" s="29" t="inlineStr">
        <is>
          <t>POWER_CRUNCH_V3_RESEARCH</t>
        </is>
      </c>
      <c r="C42" s="29" t="inlineStr">
        <is>
          <t>in_game_simulation</t>
        </is>
      </c>
      <c r="D42" s="29" t="inlineStr">
        <is>
          <t>comeback_calibration_research_artifact</t>
        </is>
      </c>
      <c r="E42" s="35" t="inlineStr">
        <is>
          <t>gate_comeback_targets_v1.0.csv</t>
        </is>
      </c>
      <c r="F42" s="29" t="inlineStr">
        <is>
          <t>artifact</t>
        </is>
      </c>
      <c r="G42" s="29" t="inlineStr">
        <is>
          <t>research package</t>
        </is>
      </c>
      <c r="H42" s="32" t="inlineStr">
        <is>
          <t>RESEARCH_INFORMATION</t>
        </is>
      </c>
      <c r="I42" s="29" t="inlineStr">
        <is>
          <t>2026-07-22</t>
        </is>
      </c>
      <c r="J42" s="29" t="n"/>
      <c r="K42" s="29" t="inlineStr">
        <is>
          <t>gate_comeback_targets_v1.0.csv</t>
        </is>
      </c>
      <c r="L42" s="29" t="inlineStr">
        <is>
          <t>entire artifact</t>
        </is>
      </c>
      <c r="M42" s="29" t="n"/>
      <c r="N42" s="29" t="inlineStr">
        <is>
          <t>NOT IMPLEMENTED</t>
        </is>
      </c>
      <c r="O42" s="29" t="inlineStr">
        <is>
          <t>NOT VALIDATED</t>
        </is>
      </c>
      <c r="P42" s="29" t="inlineStr">
        <is>
          <t>May inform v3.0 simulation research and calibration design only. Does not supersede current engine or board parameters.</t>
        </is>
      </c>
    </row>
    <row r="43" s="26">
      <c r="A43" s="29" t="inlineStr">
        <is>
          <t>SCHED-W1-ANCHOR</t>
        </is>
      </c>
      <c r="B43" s="29" t="inlineStr">
        <is>
          <t>SCHEDULE</t>
        </is>
      </c>
      <c r="C43" s="29" t="inlineStr">
        <is>
          <t>calendar</t>
        </is>
      </c>
      <c r="D43" s="29" t="inlineStr">
        <is>
          <t>week_1_saturday_anchor</t>
        </is>
      </c>
      <c r="E43" s="35" t="inlineStr">
        <is>
          <t>2026-08-29</t>
        </is>
      </c>
      <c r="F43" s="29" t="inlineStr">
        <is>
          <t>date</t>
        </is>
      </c>
      <c r="G43" s="29" t="inlineStr">
        <is>
          <t>date</t>
        </is>
      </c>
      <c r="H43" s="32" t="inlineStr">
        <is>
          <t>LOCKED</t>
        </is>
      </c>
      <c r="I43" s="29" t="inlineStr">
        <is>
          <t>2026-07-22</t>
        </is>
      </c>
      <c r="J43" s="29" t="inlineStr">
        <is>
          <t>R-2026-CAL-01</t>
        </is>
      </c>
      <c r="K43" s="29" t="inlineStr">
        <is>
          <t>2026_FBS_Schedule_LOCKED_v5.xlsx</t>
        </is>
      </c>
      <c r="L43" s="29" t="inlineStr">
        <is>
          <t>Certification / G0003</t>
        </is>
      </c>
      <c r="M43" s="29" t="n"/>
      <c r="N43" s="29" t="inlineStr">
        <is>
          <t>implemented in v5</t>
        </is>
      </c>
      <c r="O43" s="29" t="inlineStr">
        <is>
          <t>SOURCE-VERIFIED</t>
        </is>
      </c>
      <c r="P43" s="29" t="inlineStr">
        <is>
          <t>Week 1 remains August 29; no Week 0 introduced.</t>
        </is>
      </c>
    </row>
    <row r="44" s="26">
      <c r="A44" s="29" t="inlineStr">
        <is>
          <t>SCHED-G0003-HOME</t>
        </is>
      </c>
      <c r="B44" s="29" t="inlineStr">
        <is>
          <t>SCHEDULE</t>
        </is>
      </c>
      <c r="C44" s="29" t="inlineStr">
        <is>
          <t>game classification</t>
        </is>
      </c>
      <c r="D44" s="29" t="inlineStr">
        <is>
          <t>G0003_home_team</t>
        </is>
      </c>
      <c r="E44" s="35" t="inlineStr">
        <is>
          <t>UVA</t>
        </is>
      </c>
      <c r="F44" s="29" t="inlineStr">
        <is>
          <t>str</t>
        </is>
      </c>
      <c r="G44" s="29" t="inlineStr">
        <is>
          <t>team code</t>
        </is>
      </c>
      <c r="H44" s="32" t="inlineStr">
        <is>
          <t>LOCKED</t>
        </is>
      </c>
      <c r="I44" s="29" t="inlineStr">
        <is>
          <t>2026-07-22</t>
        </is>
      </c>
      <c r="J44" s="29" t="inlineStr">
        <is>
          <t>R-2026-ACC-NCSU-UVA-01</t>
        </is>
      </c>
      <c r="K44" s="29" t="inlineStr">
        <is>
          <t>2026_FBS_Schedule_LOCKED_v5.xlsx</t>
        </is>
      </c>
      <c r="L44" s="29" t="inlineStr">
        <is>
          <t>Games!G0003</t>
        </is>
      </c>
      <c r="M44" s="29" t="inlineStr">
        <is>
          <t>NCSU</t>
        </is>
      </c>
      <c r="N44" s="29" t="inlineStr">
        <is>
          <t>implemented in v5</t>
        </is>
      </c>
      <c r="O44" s="29" t="inlineStr">
        <is>
          <t>SOURCE-VERIFIED</t>
        </is>
      </c>
      <c r="P44" s="29" t="inlineStr">
        <is>
          <t>NC State–Virginia relocated to Virginia home field.</t>
        </is>
      </c>
    </row>
    <row r="45" s="26">
      <c r="A45" s="29" t="inlineStr">
        <is>
          <t>SCHED-G0003-VENUE</t>
        </is>
      </c>
      <c r="B45" s="29" t="inlineStr">
        <is>
          <t>SCHEDULE</t>
        </is>
      </c>
      <c r="C45" s="29" t="inlineStr">
        <is>
          <t>game classification</t>
        </is>
      </c>
      <c r="D45" s="29" t="inlineStr">
        <is>
          <t>G0003_venue</t>
        </is>
      </c>
      <c r="E45" s="35" t="inlineStr">
        <is>
          <t>HOME</t>
        </is>
      </c>
      <c r="F45" s="29" t="inlineStr">
        <is>
          <t>str</t>
        </is>
      </c>
      <c r="G45" s="29" t="inlineStr">
        <is>
          <t>venue class</t>
        </is>
      </c>
      <c r="H45" s="32" t="inlineStr">
        <is>
          <t>LOCKED</t>
        </is>
      </c>
      <c r="I45" s="29" t="inlineStr">
        <is>
          <t>2026-07-22</t>
        </is>
      </c>
      <c r="J45" s="29" t="inlineStr">
        <is>
          <t>R-2026-ACC-NCSU-UVA-01</t>
        </is>
      </c>
      <c r="K45" s="29" t="inlineStr">
        <is>
          <t>2026_FBS_Schedule_LOCKED_v5.xlsx</t>
        </is>
      </c>
      <c r="L45" s="29" t="inlineStr">
        <is>
          <t>Games!G0003</t>
        </is>
      </c>
      <c r="M45" s="29" t="inlineStr">
        <is>
          <t>NEUTRAL</t>
        </is>
      </c>
      <c r="N45" s="29" t="inlineStr">
        <is>
          <t>implemented in v5</t>
        </is>
      </c>
      <c r="O45" s="29" t="inlineStr">
        <is>
          <t>SOURCE-VERIFIED</t>
        </is>
      </c>
      <c r="P45" s="29" t="inlineStr">
        <is>
          <t>UVA home; venue no longer neutral.</t>
        </is>
      </c>
    </row>
    <row r="46" s="26">
      <c r="A46" s="29" t="inlineStr">
        <is>
          <t>SCHED-G0003-CONF</t>
        </is>
      </c>
      <c r="B46" s="29" t="inlineStr">
        <is>
          <t>SCHEDULE</t>
        </is>
      </c>
      <c r="C46" s="29" t="inlineStr">
        <is>
          <t>game classification</t>
        </is>
      </c>
      <c r="D46" s="29" t="inlineStr">
        <is>
          <t>G0003_conference_game</t>
        </is>
      </c>
      <c r="E46" s="35" t="inlineStr">
        <is>
          <t>Y</t>
        </is>
      </c>
      <c r="F46" s="29" t="inlineStr">
        <is>
          <t>str</t>
        </is>
      </c>
      <c r="G46" s="29" t="inlineStr">
        <is>
          <t>flag</t>
        </is>
      </c>
      <c r="H46" s="32" t="inlineStr">
        <is>
          <t>LOCKED</t>
        </is>
      </c>
      <c r="I46" s="29" t="inlineStr">
        <is>
          <t>2026-07-22</t>
        </is>
      </c>
      <c r="J46" s="29" t="inlineStr">
        <is>
          <t>R-2026-ACC-NCSU-UVA-01</t>
        </is>
      </c>
      <c r="K46" s="29" t="inlineStr">
        <is>
          <t>2026_FBS_Schedule_LOCKED_v5.xlsx</t>
        </is>
      </c>
      <c r="L46" s="29" t="inlineStr">
        <is>
          <t>Games!G0003</t>
        </is>
      </c>
      <c r="M46" s="29" t="inlineStr">
        <is>
          <t>Y</t>
        </is>
      </c>
      <c r="N46" s="29" t="inlineStr">
        <is>
          <t>implemented in v5</t>
        </is>
      </c>
      <c r="O46" s="29" t="inlineStr">
        <is>
          <t>SOURCE-VERIFIED</t>
        </is>
      </c>
      <c r="P46" s="29" t="inlineStr">
        <is>
          <t>Counts in ACC standings; classification retained.</t>
        </is>
      </c>
    </row>
  </sheetData>
  <autoFilter ref="A2:P41"/>
  <mergeCells count="1">
    <mergeCell ref="A1:P1"/>
  </mergeCells>
  <dataValidations count="1">
    <dataValidation sqref="H3:H141" showDropDown="0" showInputMessage="0" showErrorMessage="0" allowBlank="0" type="list">
      <formula1>"LOCKED,RATIFIED,VALIDATED,VERIFIED,CANONICAL,PROPOSED,PROVISIONAL,OPEN,HELD,PENDING,PLACEHOLDER,SUPERSEDED,RETIRED,HISTORICAL,REVERSED,REJECTED,DO-NOT-USE"</formula1>
    </dataValidation>
  </dataValidations>
  <printOptions horizontalCentered="0"/>
  <pageMargins left="0.25" right="0.25" top="0.5" bottom="0.5" header="0.5" footer="0.5"/>
  <pageSetup orientation="landscape" fitToHeight="0" fitToWidth="1"/>
</worksheet>
</file>

<file path=xl/worksheets/sheet4.xml><?xml version="1.0" encoding="utf-8"?>
<worksheet xmlns="http://schemas.openxmlformats.org/spreadsheetml/2006/main">
  <sheetPr>
    <tabColor rgb="004472C4"/>
    <outlinePr summaryBelow="1" summaryRight="1"/>
    <pageSetUpPr fitToPage="1"/>
  </sheetPr>
  <dimension ref="A1:M25"/>
  <sheetViews>
    <sheetView showGridLines="0" workbookViewId="0">
      <pane ySplit="2" topLeftCell="A3" activePane="bottomLeft" state="frozen"/>
      <selection pane="bottomLeft" activeCell="A1" sqref="A1"/>
    </sheetView>
  </sheetViews>
  <sheetFormatPr baseColWidth="8" defaultRowHeight="15"/>
  <cols>
    <col width="52" customWidth="1" style="26" min="1" max="1"/>
    <col width="90" customWidth="1" style="26" min="2" max="2"/>
    <col width="12" customWidth="1" style="26" min="3" max="3"/>
    <col width="10" customWidth="1" style="26" min="4" max="4"/>
    <col width="11" customWidth="1" style="26" min="5" max="5"/>
    <col width="15" customWidth="1" style="26" min="6" max="6"/>
    <col width="11" customWidth="1" style="26" min="7" max="7"/>
    <col width="15" customWidth="1" style="26" min="8" max="8"/>
    <col width="10" customWidth="1" style="26" min="9" max="9"/>
    <col width="17" customWidth="1" style="26" min="10" max="10"/>
    <col width="10" customWidth="1" style="26" min="11" max="11"/>
    <col width="14" customWidth="1" style="26" min="12" max="12"/>
    <col width="45" customWidth="1" style="26" min="13" max="13"/>
  </cols>
  <sheetData>
    <row r="1" ht="26" customHeight="1" s="26">
      <c r="A1" s="27" t="inlineStr">
        <is>
          <t>2026 SCHEDULE v5 — CERTIFICATION AND CCG PLACEHOLDERS</t>
        </is>
      </c>
    </row>
    <row r="2">
      <c r="A2" s="28" t="inlineStr">
        <is>
          <t>game_id</t>
        </is>
      </c>
      <c r="B2" s="28" t="inlineStr">
        <is>
          <t>week</t>
        </is>
      </c>
      <c r="C2" s="28" t="inlineStr">
        <is>
          <t>date</t>
        </is>
      </c>
      <c r="D2" s="28" t="inlineStr">
        <is>
          <t>type</t>
        </is>
      </c>
      <c r="E2" s="28" t="inlineStr">
        <is>
          <t>home_team</t>
        </is>
      </c>
      <c r="F2" s="28" t="inlineStr">
        <is>
          <t>home_conf</t>
        </is>
      </c>
      <c r="G2" s="28" t="inlineStr">
        <is>
          <t>away_team</t>
        </is>
      </c>
      <c r="H2" s="28" t="inlineStr">
        <is>
          <t>away_conf</t>
        </is>
      </c>
      <c r="I2" s="28" t="inlineStr">
        <is>
          <t>venue</t>
        </is>
      </c>
      <c r="J2" s="28" t="inlineStr">
        <is>
          <t>conference_game</t>
        </is>
      </c>
      <c r="K2" s="28" t="inlineStr">
        <is>
          <t>fcs_game</t>
        </is>
      </c>
      <c r="L2" s="28" t="inlineStr">
        <is>
          <t>flex_rematch</t>
        </is>
      </c>
      <c r="M2" s="28" t="inlineStr">
        <is>
          <t>venue_rule</t>
        </is>
      </c>
    </row>
    <row r="3" s="26">
      <c r="A3" s="29" t="inlineStr">
        <is>
          <t>G0001</t>
        </is>
      </c>
      <c r="B3" s="29" t="inlineStr">
        <is>
          <t>W1</t>
        </is>
      </c>
      <c r="C3" s="29" t="inlineStr">
        <is>
          <t>2026-08-29</t>
        </is>
      </c>
      <c r="D3" s="29" t="inlineStr">
        <is>
          <t>REG</t>
        </is>
      </c>
      <c r="E3" s="29" t="inlineStr">
        <is>
          <t>ARK</t>
        </is>
      </c>
      <c r="F3" s="29" t="inlineStr">
        <is>
          <t>SEC</t>
        </is>
      </c>
      <c r="G3" s="29" t="inlineStr">
        <is>
          <t>YALE</t>
        </is>
      </c>
      <c r="H3" s="29" t="inlineStr">
        <is>
          <t>ECL</t>
        </is>
      </c>
      <c r="I3" s="29" t="inlineStr">
        <is>
          <t>HOME</t>
        </is>
      </c>
      <c r="J3" s="29" t="inlineStr">
        <is>
          <t>N</t>
        </is>
      </c>
      <c r="K3" s="29" t="inlineStr">
        <is>
          <t>N</t>
        </is>
      </c>
      <c r="L3" s="29" t="inlineStr">
        <is>
          <t>N</t>
        </is>
      </c>
      <c r="M3" s="29" t="n"/>
    </row>
    <row r="4" s="26">
      <c r="A4" s="29" t="inlineStr">
        <is>
          <t>G0003</t>
        </is>
      </c>
      <c r="B4" s="29" t="inlineStr">
        <is>
          <t>W1</t>
        </is>
      </c>
      <c r="C4" s="29" t="inlineStr">
        <is>
          <t>2026-08-29</t>
        </is>
      </c>
      <c r="D4" s="29" t="inlineStr">
        <is>
          <t>REG</t>
        </is>
      </c>
      <c r="E4" s="29" t="inlineStr">
        <is>
          <t>UVA</t>
        </is>
      </c>
      <c r="F4" s="29" t="inlineStr">
        <is>
          <t>ACC</t>
        </is>
      </c>
      <c r="G4" s="29" t="inlineStr">
        <is>
          <t>NCSU</t>
        </is>
      </c>
      <c r="H4" s="29" t="inlineStr">
        <is>
          <t>ACC</t>
        </is>
      </c>
      <c r="I4" s="29" t="inlineStr">
        <is>
          <t>HOME</t>
        </is>
      </c>
      <c r="J4" s="29" t="inlineStr">
        <is>
          <t>Y</t>
        </is>
      </c>
      <c r="K4" s="29" t="inlineStr">
        <is>
          <t>N</t>
        </is>
      </c>
      <c r="L4" s="29" t="inlineStr">
        <is>
          <t>N</t>
        </is>
      </c>
      <c r="M4" s="29" t="inlineStr">
        <is>
          <t>R-2026-ACC-NCSU-UVA-01: UVA_HOME</t>
        </is>
      </c>
    </row>
    <row r="5">
      <c r="A5" s="29" t="inlineStr">
        <is>
          <t>G0736</t>
        </is>
      </c>
      <c r="B5" s="29" t="inlineStr">
        <is>
          <t>W16</t>
        </is>
      </c>
      <c r="C5" s="29" t="inlineStr">
        <is>
          <t>2026-12-12</t>
        </is>
      </c>
      <c r="D5" s="29" t="inlineStr">
        <is>
          <t>REG</t>
        </is>
      </c>
      <c r="E5" s="29" t="inlineStr">
        <is>
          <t>ARMY</t>
        </is>
      </c>
      <c r="F5" s="29" t="inlineStr">
        <is>
          <t>American</t>
        </is>
      </c>
      <c r="G5" s="29" t="inlineStr">
        <is>
          <t>NAVY</t>
        </is>
      </c>
      <c r="H5" s="29" t="inlineStr">
        <is>
          <t>American</t>
        </is>
      </c>
      <c r="I5" s="29" t="inlineStr">
        <is>
          <t>NEUTRAL</t>
        </is>
      </c>
      <c r="J5" s="29" t="inlineStr">
        <is>
          <t>N</t>
        </is>
      </c>
      <c r="K5" s="29" t="inlineStr">
        <is>
          <t>N</t>
        </is>
      </c>
      <c r="L5" s="29" t="inlineStr">
        <is>
          <t>N</t>
        </is>
      </c>
      <c r="M5" s="29" t="n"/>
    </row>
    <row r="6">
      <c r="A6" s="29" t="inlineStr">
        <is>
          <t>G0737</t>
        </is>
      </c>
      <c r="B6" s="29" t="inlineStr">
        <is>
          <t>W15</t>
        </is>
      </c>
      <c r="C6" s="29" t="inlineStr">
        <is>
          <t>2026-12-04</t>
        </is>
      </c>
      <c r="D6" s="29" t="inlineStr">
        <is>
          <t>CCG</t>
        </is>
      </c>
      <c r="E6" s="29" t="n"/>
      <c r="F6" s="29" t="inlineStr">
        <is>
          <t>Big 12</t>
        </is>
      </c>
      <c r="G6" s="29" t="n"/>
      <c r="H6" s="29" t="inlineStr">
        <is>
          <t>Big 12</t>
        </is>
      </c>
      <c r="I6" s="29" t="inlineStr">
        <is>
          <t>NEUTRAL</t>
        </is>
      </c>
      <c r="J6" s="29" t="inlineStr">
        <is>
          <t>Y</t>
        </is>
      </c>
      <c r="K6" s="29" t="inlineStr">
        <is>
          <t>N</t>
        </is>
      </c>
      <c r="L6" s="29" t="inlineStr">
        <is>
          <t>N</t>
        </is>
      </c>
      <c r="M6" s="29" t="inlineStr">
        <is>
          <t>FIXED:AT&amp;T Stadium, Arlington TX</t>
        </is>
      </c>
    </row>
    <row r="7">
      <c r="A7" s="29" t="inlineStr">
        <is>
          <t>G0738</t>
        </is>
      </c>
      <c r="B7" s="29" t="inlineStr">
        <is>
          <t>W15</t>
        </is>
      </c>
      <c r="C7" s="29" t="inlineStr">
        <is>
          <t>2026-12-04</t>
        </is>
      </c>
      <c r="D7" s="29" t="inlineStr">
        <is>
          <t>CCG</t>
        </is>
      </c>
      <c r="E7" s="29" t="n"/>
      <c r="F7" s="29" t="inlineStr">
        <is>
          <t>Pac-12</t>
        </is>
      </c>
      <c r="G7" s="29" t="n"/>
      <c r="H7" s="29" t="inlineStr">
        <is>
          <t>Pac-12</t>
        </is>
      </c>
      <c r="I7" s="29" t="inlineStr">
        <is>
          <t>HOME</t>
        </is>
      </c>
      <c r="J7" s="29" t="inlineStr">
        <is>
          <t>Y</t>
        </is>
      </c>
      <c r="K7" s="29" t="inlineStr">
        <is>
          <t>N</t>
        </is>
      </c>
      <c r="L7" s="29" t="inlineStr">
        <is>
          <t>N</t>
        </is>
      </c>
      <c r="M7" s="29" t="inlineStr">
        <is>
          <t>HOST_HIGHER_CONF_WINPCT</t>
        </is>
      </c>
    </row>
    <row r="8">
      <c r="A8" s="29" t="inlineStr">
        <is>
          <t>G0739</t>
        </is>
      </c>
      <c r="B8" s="29" t="inlineStr">
        <is>
          <t>W15</t>
        </is>
      </c>
      <c r="C8" s="29" t="inlineStr">
        <is>
          <t>2026-12-04</t>
        </is>
      </c>
      <c r="D8" s="29" t="inlineStr">
        <is>
          <t>CCG</t>
        </is>
      </c>
      <c r="E8" s="29" t="n"/>
      <c r="F8" s="29" t="inlineStr">
        <is>
          <t>Mountain West</t>
        </is>
      </c>
      <c r="G8" s="29" t="n"/>
      <c r="H8" s="29" t="inlineStr">
        <is>
          <t>Mountain West</t>
        </is>
      </c>
      <c r="I8" s="29" t="inlineStr">
        <is>
          <t>HOME</t>
        </is>
      </c>
      <c r="J8" s="29" t="inlineStr">
        <is>
          <t>Y</t>
        </is>
      </c>
      <c r="K8" s="29" t="inlineStr">
        <is>
          <t>N</t>
        </is>
      </c>
      <c r="L8" s="29" t="inlineStr">
        <is>
          <t>N</t>
        </is>
      </c>
      <c r="M8" s="29" t="inlineStr">
        <is>
          <t>HOST_HIGHER_CONF_WINPCT</t>
        </is>
      </c>
    </row>
    <row r="9">
      <c r="A9" s="29" t="inlineStr">
        <is>
          <t>G0740</t>
        </is>
      </c>
      <c r="B9" s="29" t="inlineStr">
        <is>
          <t>W15</t>
        </is>
      </c>
      <c r="C9" s="29" t="inlineStr">
        <is>
          <t>2026-12-05</t>
        </is>
      </c>
      <c r="D9" s="29" t="inlineStr">
        <is>
          <t>CCG</t>
        </is>
      </c>
      <c r="E9" s="29" t="n"/>
      <c r="F9" s="29" t="inlineStr">
        <is>
          <t>ACC</t>
        </is>
      </c>
      <c r="G9" s="29" t="n"/>
      <c r="H9" s="29" t="inlineStr">
        <is>
          <t>ACC</t>
        </is>
      </c>
      <c r="I9" s="29" t="inlineStr">
        <is>
          <t>NEUTRAL</t>
        </is>
      </c>
      <c r="J9" s="29" t="inlineStr">
        <is>
          <t>Y</t>
        </is>
      </c>
      <c r="K9" s="29" t="inlineStr">
        <is>
          <t>N</t>
        </is>
      </c>
      <c r="L9" s="29" t="inlineStr">
        <is>
          <t>N</t>
        </is>
      </c>
      <c r="M9" s="29" t="inlineStr">
        <is>
          <t>FIXED:Bank of America Stadium, Charlotte NC</t>
        </is>
      </c>
    </row>
    <row r="10">
      <c r="A10" s="29" t="inlineStr">
        <is>
          <t>G0741</t>
        </is>
      </c>
      <c r="B10" s="29" t="inlineStr">
        <is>
          <t>W15</t>
        </is>
      </c>
      <c r="C10" s="29" t="inlineStr">
        <is>
          <t>2026-12-05</t>
        </is>
      </c>
      <c r="D10" s="29" t="inlineStr">
        <is>
          <t>CCG</t>
        </is>
      </c>
      <c r="E10" s="29" t="n"/>
      <c r="F10" s="29" t="inlineStr">
        <is>
          <t>SEC</t>
        </is>
      </c>
      <c r="G10" s="29" t="n"/>
      <c r="H10" s="29" t="inlineStr">
        <is>
          <t>SEC</t>
        </is>
      </c>
      <c r="I10" s="29" t="inlineStr">
        <is>
          <t>NEUTRAL</t>
        </is>
      </c>
      <c r="J10" s="29" t="inlineStr">
        <is>
          <t>Y</t>
        </is>
      </c>
      <c r="K10" s="29" t="inlineStr">
        <is>
          <t>N</t>
        </is>
      </c>
      <c r="L10" s="29" t="inlineStr">
        <is>
          <t>N</t>
        </is>
      </c>
      <c r="M10" s="29" t="inlineStr">
        <is>
          <t>FIXED:Mercedes-Benz Stadium, Atlanta GA</t>
        </is>
      </c>
    </row>
    <row r="11">
      <c r="A11" s="29" t="inlineStr">
        <is>
          <t>G0742</t>
        </is>
      </c>
      <c r="B11" s="29" t="inlineStr">
        <is>
          <t>W15</t>
        </is>
      </c>
      <c r="C11" s="29" t="inlineStr">
        <is>
          <t>2026-12-05</t>
        </is>
      </c>
      <c r="D11" s="29" t="inlineStr">
        <is>
          <t>CCG</t>
        </is>
      </c>
      <c r="E11" s="29" t="n"/>
      <c r="F11" s="29" t="inlineStr">
        <is>
          <t>Big Ten</t>
        </is>
      </c>
      <c r="G11" s="29" t="n"/>
      <c r="H11" s="29" t="inlineStr">
        <is>
          <t>Big Ten</t>
        </is>
      </c>
      <c r="I11" s="29" t="inlineStr">
        <is>
          <t>NEUTRAL</t>
        </is>
      </c>
      <c r="J11" s="29" t="inlineStr">
        <is>
          <t>Y</t>
        </is>
      </c>
      <c r="K11" s="29" t="inlineStr">
        <is>
          <t>N</t>
        </is>
      </c>
      <c r="L11" s="29" t="inlineStr">
        <is>
          <t>N</t>
        </is>
      </c>
      <c r="M11" s="29" t="inlineStr">
        <is>
          <t>FIXED:Lucas Oil Stadium, Indianapolis IN</t>
        </is>
      </c>
    </row>
    <row r="12">
      <c r="A12" s="29" t="inlineStr">
        <is>
          <t>G0743</t>
        </is>
      </c>
      <c r="B12" s="29" t="inlineStr">
        <is>
          <t>W15</t>
        </is>
      </c>
      <c r="C12" s="29" t="inlineStr">
        <is>
          <t>2026-12-05</t>
        </is>
      </c>
      <c r="D12" s="29" t="inlineStr">
        <is>
          <t>CCG</t>
        </is>
      </c>
      <c r="E12" s="29" t="n"/>
      <c r="F12" s="29" t="inlineStr">
        <is>
          <t>American</t>
        </is>
      </c>
      <c r="G12" s="29" t="n"/>
      <c r="H12" s="29" t="inlineStr">
        <is>
          <t>American</t>
        </is>
      </c>
      <c r="I12" s="29" t="inlineStr">
        <is>
          <t>HOME</t>
        </is>
      </c>
      <c r="J12" s="29" t="inlineStr">
        <is>
          <t>Y</t>
        </is>
      </c>
      <c r="K12" s="29" t="inlineStr">
        <is>
          <t>N</t>
        </is>
      </c>
      <c r="L12" s="29" t="inlineStr">
        <is>
          <t>N</t>
        </is>
      </c>
      <c r="M12" s="29" t="inlineStr">
        <is>
          <t>HOST_HIGHER_COMMITTEE_RANK</t>
        </is>
      </c>
    </row>
    <row r="14">
      <c r="A14" s="34" t="inlineStr">
        <is>
          <t>Certification</t>
        </is>
      </c>
    </row>
    <row r="15">
      <c r="A15" s="39" t="inlineStr">
        <is>
          <t>field</t>
        </is>
      </c>
      <c r="B15" s="39" t="inlineStr">
        <is>
          <t>Synthetic 2026 FBS Schedule — LOCKED v5</t>
        </is>
      </c>
    </row>
    <row r="16">
      <c r="A16" s="39" t="inlineStr">
        <is>
          <t>supersedes</t>
        </is>
      </c>
      <c r="B16" s="39" t="inlineStr">
        <is>
          <t>v4 (binary_sha256 8d4d5112aa52cfb51895c95d104e3c5e1821813e3b481a4f1b3067668d0af57b)</t>
        </is>
      </c>
    </row>
    <row r="17">
      <c r="A17" s="39" t="inlineStr">
        <is>
          <t>change</t>
        </is>
      </c>
      <c r="B17" s="39" t="inlineStr">
        <is>
          <t>G0003 corrected to UVA home vs NCSU; venue HOME; W1/date and ACC conference classification unchanged. Total remains 743.</t>
        </is>
      </c>
    </row>
    <row r="18">
      <c r="A18" s="39" t="inlineStr">
        <is>
          <t>basis</t>
        </is>
      </c>
      <c r="B18" s="39" t="inlineStr">
        <is>
          <t>R-2026-CAL-01 and R-2026-ACC-NCSU-UVA-01; existing R-CCG rulings retained.</t>
        </is>
      </c>
    </row>
    <row r="19">
      <c r="A19" s="39" t="inlineStr">
        <is>
          <t>ccg_count</t>
        </is>
      </c>
      <c r="B19" s="39" t="inlineStr">
        <is>
          <t>7 — SEC, Big Ten, Big 12, ACC, Pac-12, Mountain West, American. NONE for Atlantic-8, ECL, Independent.</t>
        </is>
      </c>
    </row>
    <row r="20">
      <c r="A20" s="39" t="inlineStr">
        <is>
          <t>ccg_participants</t>
        </is>
      </c>
      <c r="B20" s="39" t="inlineStr">
        <is>
          <t>NULL until resolved post-W14. resolved=FALSE by construction.</t>
        </is>
      </c>
    </row>
    <row r="21">
      <c r="A21" s="39" t="inlineStr">
        <is>
          <t>ccg_sites</t>
        </is>
      </c>
      <c r="B21" s="39" t="inlineStr">
        <is>
          <t>NEUTRAL: Big 12, ACC, SEC, Big Ten. HOME (campus host): Pac-12, Mountain West, American.</t>
        </is>
      </c>
    </row>
    <row r="22">
      <c r="A22" s="39" t="inlineStr">
        <is>
          <t>total_games</t>
        </is>
      </c>
      <c r="B22" s="39" t="inlineStr">
        <is>
          <t>743</t>
        </is>
      </c>
    </row>
    <row r="23">
      <c r="A23" s="39" t="inlineStr">
        <is>
          <t>integrity_sha256</t>
        </is>
      </c>
      <c r="B23" s="39" t="inlineStr">
        <is>
          <t>bd8089f70f6d483a75564e33438272c22daade8e53619fb21a915778975ff221</t>
        </is>
      </c>
    </row>
    <row r="24">
      <c r="A24" s="39" t="inlineStr">
        <is>
          <t>validator_note</t>
        </is>
      </c>
      <c r="B24" s="39" t="inlineStr">
        <is>
          <t>Reciprocity / null-participant checks MUST skip type=CCG or they fail on correct rows.</t>
        </is>
      </c>
    </row>
    <row r="25">
      <c r="A25" s="39" t="inlineStr">
        <is>
          <t>engine_note</t>
        </is>
      </c>
      <c r="B25" s="39" t="inlineStr">
        <is>
          <t>compute_mc_hardened.py does NOT read CCG rows; it synthesises titles internally (step 3). See CCG_ENGINE_GAP memo.</t>
        </is>
      </c>
    </row>
  </sheetData>
  <autoFilter ref="A2:M11"/>
  <mergeCells count="1">
    <mergeCell ref="A1:M1"/>
  </mergeCells>
  <printOptions horizontalCentered="0"/>
  <pageMargins left="0.25" right="0.25" top="0.5" bottom="0.5" header="0.5" footer="0.5"/>
  <pageSetup orientation="landscape" fitToHeight="0" fitToWidth="1"/>
</worksheet>
</file>

<file path=xl/worksheets/sheet5.xml><?xml version="1.0" encoding="utf-8"?>
<worksheet xmlns="http://schemas.openxmlformats.org/spreadsheetml/2006/main">
  <sheetPr>
    <tabColor rgb="004472C4"/>
    <outlinePr summaryBelow="1" summaryRight="1"/>
    <pageSetUpPr fitToPage="1"/>
  </sheetPr>
  <dimension ref="A1:H16"/>
  <sheetViews>
    <sheetView showGridLines="0" workbookViewId="0">
      <pane ySplit="2" topLeftCell="A3" activePane="bottomLeft" state="frozen"/>
      <selection pane="bottomLeft" activeCell="A1" sqref="A1"/>
    </sheetView>
  </sheetViews>
  <sheetFormatPr baseColWidth="8" defaultRowHeight="15"/>
  <cols>
    <col width="38" customWidth="1" style="26" min="1" max="1"/>
    <col width="12" customWidth="1" style="26" min="2" max="2"/>
    <col width="52" customWidth="1" style="26" min="3" max="3"/>
    <col width="10" customWidth="1" style="26" min="4" max="4"/>
    <col width="11" customWidth="1" style="26" min="5" max="5"/>
    <col width="23" customWidth="1" style="26" min="6" max="6"/>
    <col width="52" customWidth="1" style="26" min="7" max="7"/>
    <col width="10" customWidth="1" style="26" min="8" max="8"/>
  </cols>
  <sheetData>
    <row r="1" ht="26" customHeight="1" s="26">
      <c r="A1" s="27" t="inlineStr">
        <is>
          <t>CONFERENCE CHAMPIONSHIP RULES — 2026</t>
        </is>
      </c>
    </row>
    <row r="2">
      <c r="A2" s="28" t="inlineStr">
        <is>
          <t>ruling_id</t>
        </is>
      </c>
      <c r="B2" s="28" t="inlineStr">
        <is>
          <t>date</t>
        </is>
      </c>
      <c r="C2" s="28" t="inlineStr">
        <is>
          <t>ruling</t>
        </is>
      </c>
      <c r="D2" s="28" t="inlineStr">
        <is>
          <t>status</t>
        </is>
      </c>
      <c r="E2" s="28" t="inlineStr">
        <is>
          <t>authority</t>
        </is>
      </c>
      <c r="F2" s="28" t="inlineStr">
        <is>
          <t>implementation_status</t>
        </is>
      </c>
      <c r="G2" s="28" t="inlineStr">
        <is>
          <t>source</t>
        </is>
      </c>
      <c r="H2" s="28" t="inlineStr">
        <is>
          <t>notes</t>
        </is>
      </c>
    </row>
    <row r="3">
      <c r="A3" s="29" t="inlineStr">
        <is>
          <t>ID</t>
        </is>
      </c>
      <c r="B3" s="29" t="inlineStr">
        <is>
          <t>Date</t>
        </is>
      </c>
      <c r="C3" s="29" t="inlineStr">
        <is>
          <t>Ruling</t>
        </is>
      </c>
      <c r="D3" s="29" t="inlineStr">
        <is>
          <t>Status</t>
        </is>
      </c>
      <c r="E3" s="29" t="inlineStr">
        <is>
          <t>Authority</t>
        </is>
      </c>
      <c r="F3" s="29" t="inlineStr">
        <is>
          <t>PATCH-MERGED-IN-V2</t>
        </is>
      </c>
      <c r="G3" s="29" t="inlineStr">
        <is>
          <t>https://drive.google.com/file/d/1iQaUaLqk6_tzX-pzewXRRp_mWLyShSSP</t>
        </is>
      </c>
      <c r="H3" s="29" t="inlineStr"/>
    </row>
    <row r="4">
      <c r="A4" s="29" t="inlineStr">
        <is>
          <t>R-CCG-01</t>
        </is>
      </c>
      <c r="B4" s="29" t="inlineStr">
        <is>
          <t>2026-07-14</t>
        </is>
      </c>
      <c r="C4" s="29" t="inlineStr">
        <is>
          <t>CCG participants = top two by CONFERENCE win%. Tiebreak: TB-1 head-to-head -&gt; TB-2 mini round-robin among tied -&gt; TB-3 last committee board before Championship Saturday (terminal; board is full 121-team ordering).</t>
        </is>
      </c>
      <c r="D4" s="32" t="inlineStr">
        <is>
          <t>LOCKED</t>
        </is>
      </c>
      <c r="E4" s="29" t="inlineStr">
        <is>
          <t>Chairman</t>
        </is>
      </c>
      <c r="F4" s="29" t="inlineStr">
        <is>
          <t>PATCH-MERGED-IN-V2</t>
        </is>
      </c>
      <c r="G4" s="29" t="inlineStr">
        <is>
          <t>https://drive.google.com/file/d/1iQaUaLqk6_tzX-pzewXRRp_mWLyShSSP</t>
        </is>
      </c>
      <c r="H4" s="29" t="inlineStr"/>
    </row>
    <row r="5">
      <c r="A5" s="29" t="inlineStr">
        <is>
          <t>R-CCG-02</t>
        </is>
      </c>
      <c r="B5" s="29" t="inlineStr">
        <is>
          <t>2026-07-14</t>
        </is>
      </c>
      <c r="C5" s="29" t="inlineStr">
        <is>
          <t>Atlantic-8 has NO championship game. ECL has NO championship game. Season ends W14.</t>
        </is>
      </c>
      <c r="D5" s="32" t="inlineStr">
        <is>
          <t>LOCKED</t>
        </is>
      </c>
      <c r="E5" s="29" t="inlineStr">
        <is>
          <t>Chairman</t>
        </is>
      </c>
      <c r="F5" s="29" t="inlineStr">
        <is>
          <t>PATCH-MERGED-IN-V2</t>
        </is>
      </c>
      <c r="G5" s="29" t="inlineStr">
        <is>
          <t>https://drive.google.com/file/d/1iQaUaLqk6_tzX-pzewXRRp_mWLyShSSP</t>
        </is>
      </c>
      <c r="H5" s="29" t="inlineStr"/>
    </row>
    <row r="6">
      <c r="A6" s="29" t="inlineStr">
        <is>
          <t>R-CCG-03</t>
        </is>
      </c>
      <c r="B6" s="29" t="inlineStr">
        <is>
          <t>2026-07-14</t>
        </is>
      </c>
      <c r="C6" s="29" t="inlineStr">
        <is>
          <t>CCGs are first-class game rows (W15, type=CCG, participants NULL until resolved). Schedule 736 -&gt; 743 games; cut v4.</t>
        </is>
      </c>
      <c r="D6" s="32" t="inlineStr">
        <is>
          <t>LOCKED</t>
        </is>
      </c>
      <c r="E6" s="29" t="inlineStr">
        <is>
          <t>Chairman</t>
        </is>
      </c>
      <c r="F6" s="29" t="inlineStr">
        <is>
          <t>PATCH-MERGED-IN-V2</t>
        </is>
      </c>
      <c r="G6" s="29" t="inlineStr">
        <is>
          <t>https://drive.google.com/file/d/1iQaUaLqk6_tzX-pzewXRRp_mWLyShSSP</t>
        </is>
      </c>
      <c r="H6" s="29" t="inlineStr"/>
    </row>
    <row r="7">
      <c r="A7" s="29" t="inlineStr">
        <is>
          <t>R-CCG-04</t>
        </is>
      </c>
      <c r="B7" s="29" t="inlineStr">
        <is>
          <t>2026-07-14</t>
        </is>
      </c>
      <c r="C7" s="29" t="inlineStr">
        <is>
          <t>Championship-network divergence (SEC/B12/ACC-&gt;EBC; MWC-&gt;Fox) is intentional: specific championship-rights deals. Not drift.</t>
        </is>
      </c>
      <c r="D7" s="32" t="inlineStr">
        <is>
          <t>LOCKED</t>
        </is>
      </c>
      <c r="E7" s="29" t="inlineStr">
        <is>
          <t>Chairman</t>
        </is>
      </c>
      <c r="F7" s="29" t="inlineStr">
        <is>
          <t>PATCH-MERGED-IN-V2</t>
        </is>
      </c>
      <c r="G7" s="29" t="inlineStr">
        <is>
          <t>https://drive.google.com/file/d/1iQaUaLqk6_tzX-pzewXRRp_mWLyShSSP</t>
        </is>
      </c>
      <c r="H7" s="29" t="inlineStr"/>
    </row>
    <row r="8">
      <c r="A8" s="29" t="inlineStr">
        <is>
          <t>R-CCG-05</t>
        </is>
      </c>
      <c r="B8" s="29" t="inlineStr">
        <is>
          <t>2026-07-14</t>
        </is>
      </c>
      <c r="C8" s="29" t="inlineStr">
        <is>
          <t>AAC carve-out: participants = American Div winner vs Athletic Div winner. R-CCG-01 does not supersede. TB chain governs intra-division ties only.</t>
        </is>
      </c>
      <c r="D8" s="32" t="inlineStr">
        <is>
          <t>LOCKED</t>
        </is>
      </c>
      <c r="E8" s="29" t="inlineStr">
        <is>
          <t>Chairman</t>
        </is>
      </c>
      <c r="F8" s="29" t="inlineStr">
        <is>
          <t>PATCH-MERGED-IN-V2</t>
        </is>
      </c>
      <c r="G8" s="29" t="inlineStr">
        <is>
          <t>https://drive.google.com/file/d/1iQaUaLqk6_tzX-pzewXRRp_mWLyShSSP</t>
        </is>
      </c>
      <c r="H8" s="29" t="inlineStr"/>
    </row>
    <row r="9">
      <c r="A9" s="29" t="inlineStr">
        <is>
          <t>R-CCG-06</t>
        </is>
      </c>
      <c r="B9" s="29" t="inlineStr">
        <is>
          <t>2026-07-14</t>
        </is>
      </c>
      <c r="C9" s="29" t="inlineStr">
        <is>
          <t>CCG venues. NEUTRAL: B12 (AT&amp;T, Arlington), ACC (Bank of America, Charlotte), SEC (Mercedes-Benz, Atlanta), B1G (Lucas Oil, Indianapolis). CAMPUS HOST: P12/MWC (higher conf win%), AAC (higher committee rank).</t>
        </is>
      </c>
      <c r="D9" s="32" t="inlineStr">
        <is>
          <t>LOCKED</t>
        </is>
      </c>
      <c r="E9" s="29" t="inlineStr">
        <is>
          <t>Chairman</t>
        </is>
      </c>
      <c r="F9" s="29" t="inlineStr">
        <is>
          <t>PATCH-MERGED-IN-V2</t>
        </is>
      </c>
      <c r="G9" s="29" t="inlineStr">
        <is>
          <t>https://drive.google.com/file/d/1iQaUaLqk6_tzX-pzewXRRp_mWLyShSSP</t>
        </is>
      </c>
      <c r="H9" s="29" t="inlineStr"/>
    </row>
    <row r="10">
      <c r="A10" s="29" t="inlineStr">
        <is>
          <t>R-CCG-07</t>
        </is>
      </c>
      <c r="B10" s="29" t="inlineStr">
        <is>
          <t>2026-07-14</t>
        </is>
      </c>
      <c r="C10" s="29" t="inlineStr">
        <is>
          <t>AAC division membership ratified (8 American / 8 Athletic). Load-bearing: feeds CCG participants -&gt; record -&gt; SOR.</t>
        </is>
      </c>
      <c r="D10" s="32" t="inlineStr">
        <is>
          <t>RATIFIED</t>
        </is>
      </c>
      <c r="E10" s="29" t="inlineStr">
        <is>
          <t>Chairman</t>
        </is>
      </c>
      <c r="F10" s="29" t="inlineStr">
        <is>
          <t>PATCH-MERGED-IN-V2</t>
        </is>
      </c>
      <c r="G10" s="29" t="inlineStr">
        <is>
          <t>https://drive.google.com/file/d/1iQaUaLqk6_tzX-pzewXRRp_mWLyShSSP</t>
        </is>
      </c>
      <c r="H10" s="29" t="inlineStr"/>
    </row>
    <row r="11">
      <c r="A11" s="29" t="inlineStr">
        <is>
          <t>R-CCG-08</t>
        </is>
      </c>
      <c r="B11" s="29" t="inlineStr">
        <is>
          <t>2026-07-14</t>
        </is>
      </c>
      <c r="C11" s="29" t="inlineStr">
        <is>
          <t>ECL &amp; Atlantic-8 champion decided by CONFERENCE PLAY W1-W14 (best conference win%), awarded after games of Sat 2026-11-28 (end of W14). No title game. Standings award only.</t>
        </is>
      </c>
      <c r="D11" s="32" t="inlineStr">
        <is>
          <t>LOCKED</t>
        </is>
      </c>
      <c r="E11" s="29" t="inlineStr">
        <is>
          <t>Chairman</t>
        </is>
      </c>
      <c r="F11" s="29" t="inlineStr">
        <is>
          <t>PATCH-MERGED-IN-V2</t>
        </is>
      </c>
      <c r="G11" s="29" t="inlineStr">
        <is>
          <t>https://drive.google.com/file/d/1iQaUaLqk6_tzX-pzewXRRp_mWLyShSSP</t>
        </is>
      </c>
      <c r="H11" s="29" t="inlineStr"/>
    </row>
    <row r="12">
      <c r="A12" s="29" t="inlineStr">
        <is>
          <t>CG-5</t>
        </is>
      </c>
      <c r="B12" s="29" t="inlineStr">
        <is>
          <t>2026-07-14</t>
        </is>
      </c>
      <c r="C12" s="29" t="inlineStr">
        <is>
          <t>AAC 'higher-ranked' host = committee rankings (last board before Championship Saturday).</t>
        </is>
      </c>
      <c r="D12" s="29" t="inlineStr">
        <is>
          <t>CLOSED</t>
        </is>
      </c>
      <c r="E12" s="29" t="inlineStr">
        <is>
          <t>Chairman</t>
        </is>
      </c>
      <c r="F12" s="29" t="inlineStr">
        <is>
          <t>PATCH-MERGED-IN-V2</t>
        </is>
      </c>
      <c r="G12" s="29" t="inlineStr">
        <is>
          <t>https://drive.google.com/file/d/1iQaUaLqk6_tzX-pzewXRRp_mWLyShSSP</t>
        </is>
      </c>
      <c r="H12" s="29" t="inlineStr"/>
    </row>
    <row r="13">
      <c r="A13" s="29" t="inlineStr">
        <is>
          <t>CG-6</t>
        </is>
      </c>
      <c r="B13" s="29" t="inlineStr">
        <is>
          <t>2026-07-14</t>
        </is>
      </c>
      <c r="C13" s="29" t="inlineStr">
        <is>
          <t>P12/MWC campus-host tie resolved via R-CCG-01 chain (H2H -&gt; mini-RR -&gt; last board).</t>
        </is>
      </c>
      <c r="D13" s="29" t="inlineStr">
        <is>
          <t>CLOSED</t>
        </is>
      </c>
      <c r="E13" s="29" t="inlineStr">
        <is>
          <t>Chairman</t>
        </is>
      </c>
      <c r="F13" s="29" t="inlineStr">
        <is>
          <t>PATCH-MERGED-IN-V2</t>
        </is>
      </c>
      <c r="G13" s="29" t="inlineStr">
        <is>
          <t>https://drive.google.com/file/d/1iQaUaLqk6_tzX-pzewXRRp_mWLyShSSP</t>
        </is>
      </c>
      <c r="H13" s="29" t="inlineStr"/>
    </row>
    <row r="14">
      <c r="A14" s="29" t="inlineStr">
        <is>
          <t>CG-7</t>
        </is>
      </c>
      <c r="B14" s="29" t="inlineStr">
        <is>
          <t>2026-07-14</t>
        </is>
      </c>
      <c r="C14" s="29" t="inlineStr">
        <is>
          <t>CCG results COUNT toward record and SOR. Champions gain resume; losers take a loss. Campus HFA live for P12/MWC/AAC.</t>
        </is>
      </c>
      <c r="D14" s="29" t="inlineStr">
        <is>
          <t>CLOSED</t>
        </is>
      </c>
      <c r="E14" s="29" t="inlineStr">
        <is>
          <t>Chairman</t>
        </is>
      </c>
      <c r="F14" s="29" t="inlineStr">
        <is>
          <t>PATCH-MERGED-IN-V2</t>
        </is>
      </c>
      <c r="G14" s="29" t="inlineStr">
        <is>
          <t>https://drive.google.com/file/d/1iQaUaLqk6_tzX-pzewXRRp_mWLyShSSP</t>
        </is>
      </c>
      <c r="H14" s="29" t="inlineStr"/>
    </row>
    <row r="15">
      <c r="A15" s="29" t="inlineStr">
        <is>
          <t>CG-8</t>
        </is>
      </c>
      <c r="B15" s="29" t="inlineStr">
        <is>
          <t>2026-07-14</t>
        </is>
      </c>
      <c r="C15" s="29" t="inlineStr">
        <is>
          <t>G5 auto-bid = highest-ranked G5 CONFERENCE CHAMPION (was: highest-ranked G5 team, champion-irrelevant). Matches real-CFP rule; resolves Lehigh anomaly.</t>
        </is>
      </c>
      <c r="D15" s="29" t="inlineStr">
        <is>
          <t>CLOSED</t>
        </is>
      </c>
      <c r="E15" s="29" t="inlineStr">
        <is>
          <t>Chairman</t>
        </is>
      </c>
      <c r="F15" s="29" t="inlineStr">
        <is>
          <t>PATCH-MERGED-IN-V2</t>
        </is>
      </c>
      <c r="G15" s="29" t="inlineStr">
        <is>
          <t>https://drive.google.com/file/d/1iQaUaLqk6_tzX-pzewXRRp_mWLyShSSP</t>
        </is>
      </c>
      <c r="H15" s="29" t="inlineStr"/>
    </row>
    <row r="16">
      <c r="A16" s="29" t="inlineStr">
        <is>
          <t>TB-ECL/A8</t>
        </is>
      </c>
      <c r="B16" s="29" t="inlineStr">
        <is>
          <t>2026-07-14</t>
        </is>
      </c>
      <c r="C16" s="29" t="inlineStr">
        <is>
          <t>ECL/A8 standings-champion tiebreak: TB-1 head-to-head -&gt; TB-2 mini round-robin -&gt; TB-3 FINAL committee ranking (final board, not pre-CCG). Distinct from R-CCG-01 TB-3 which uses the pre-Championship-Saturday board.</t>
        </is>
      </c>
      <c r="D16" s="32" t="inlineStr">
        <is>
          <t>LOCKED</t>
        </is>
      </c>
      <c r="E16" s="29" t="inlineStr">
        <is>
          <t>Chairman</t>
        </is>
      </c>
      <c r="F16" s="29" t="inlineStr">
        <is>
          <t>PATCH-MERGED-IN-V2</t>
        </is>
      </c>
      <c r="G16" s="29" t="inlineStr">
        <is>
          <t>https://drive.google.com/file/d/1iQaUaLqk6_tzX-pzewXRRp_mWLyShSSP</t>
        </is>
      </c>
      <c r="H16" s="29" t="inlineStr"/>
    </row>
  </sheetData>
  <autoFilter ref="A2:H16"/>
  <mergeCells count="1">
    <mergeCell ref="A1:H1"/>
  </mergeCells>
  <printOptions horizontalCentered="0"/>
  <pageMargins left="0.25" right="0.25" top="0.5" bottom="0.5" header="0.5" footer="0.5"/>
  <pageSetup orientation="landscape" fitToHeight="0" fitToWidth="1"/>
</worksheet>
</file>

<file path=xl/worksheets/sheet6.xml><?xml version="1.0" encoding="utf-8"?>
<worksheet xmlns="http://schemas.openxmlformats.org/spreadsheetml/2006/main">
  <sheetPr>
    <tabColor rgb="004472C4"/>
    <outlinePr summaryBelow="1" summaryRight="1"/>
    <pageSetUpPr fitToPage="1"/>
  </sheetPr>
  <dimension ref="A1:E22"/>
  <sheetViews>
    <sheetView showGridLines="0" workbookViewId="0">
      <pane ySplit="2" topLeftCell="A3" activePane="bottomLeft" state="frozen"/>
      <selection pane="bottomLeft" activeCell="A1" sqref="A1"/>
    </sheetView>
  </sheetViews>
  <sheetFormatPr baseColWidth="8" defaultRowHeight="15"/>
  <cols>
    <col width="22" customWidth="1" style="26" min="1" max="1"/>
    <col width="12" customWidth="1" style="26" min="2" max="2"/>
    <col width="10" customWidth="1" style="26" min="3" max="3"/>
    <col width="31" customWidth="1" style="26" min="4" max="4"/>
    <col width="52" customWidth="1" style="26" min="5" max="5"/>
  </cols>
  <sheetData>
    <row r="1" ht="26" customHeight="1" s="26">
      <c r="A1" s="27" t="inlineStr">
        <is>
          <t>05 TV RULINGS</t>
        </is>
      </c>
    </row>
    <row r="2">
      <c r="A2" s="28" t="inlineStr">
        <is>
          <t>ruling_id</t>
        </is>
      </c>
      <c r="B2" s="28" t="inlineStr">
        <is>
          <t>date</t>
        </is>
      </c>
      <c r="C2" s="28" t="inlineStr">
        <is>
          <t>status</t>
        </is>
      </c>
      <c r="D2" s="28" t="inlineStr">
        <is>
          <t>origin</t>
        </is>
      </c>
      <c r="E2" s="28" t="inlineStr">
        <is>
          <t>statement</t>
        </is>
      </c>
    </row>
    <row r="3">
      <c r="A3" s="29" t="inlineStr">
        <is>
          <t>R-TV-FIREWALL-01</t>
        </is>
      </c>
      <c r="B3" s="29" t="inlineStr">
        <is>
          <t>2026-07-15</t>
        </is>
      </c>
      <c r="C3" s="32" t="inlineStr">
        <is>
          <t>LOCKED</t>
        </is>
      </c>
      <c r="D3" s="29" t="inlineStr">
        <is>
          <t>Carried from Network Model v2</t>
        </is>
      </c>
      <c r="E3" s="29" t="inlineStr">
        <is>
          <t>Committee/Room rankings, Board ratings, and Chairman RANKING authority do NOT apply to TV carriage. Which game fills a network window is a TV-domain editorial selection made independently of the ranking system. TV consumes LEDGER (schedule) only.</t>
        </is>
      </c>
    </row>
    <row r="4">
      <c r="A4" s="29" t="inlineStr">
        <is>
          <t>R-TV-HOME-01</t>
        </is>
      </c>
      <c r="B4" s="29" t="inlineStr">
        <is>
          <t>2026-07-15</t>
        </is>
      </c>
      <c r="C4" s="32" t="inlineStr">
        <is>
          <t>LOCKED</t>
        </is>
      </c>
      <c r="D4" s="29" t="inlineStr">
        <is>
          <t>Carried from Network Model v2</t>
        </is>
      </c>
      <c r="E4" s="29" t="inlineStr">
        <is>
          <t>Home team's conference/team package governs carriage. EXCEPTION: any Notre Dame game airs on NBC regardless of home/away.</t>
        </is>
      </c>
    </row>
    <row r="5">
      <c r="A5" s="29" t="inlineStr">
        <is>
          <t>R-TV-WINDOW-01</t>
        </is>
      </c>
      <c r="B5" s="29" t="inlineStr">
        <is>
          <t>2026-07-15</t>
        </is>
      </c>
      <c r="C5" s="32" t="inlineStr">
        <is>
          <t>LOCKED</t>
        </is>
      </c>
      <c r="D5" s="29" t="inlineStr">
        <is>
          <t>Carried from Network Model v2</t>
        </is>
      </c>
      <c r="E5" s="29" t="inlineStr">
        <is>
          <t>Within a conference package, allocate 2 selection windows per network in listed order: picks #1-2 to 1st-listed, #3-4 to 2nd-listed, #5-6 to 3rd-listed, cascading. Behaviour past the first pass is UNRULED (see NM-O6).</t>
        </is>
      </c>
    </row>
    <row r="6">
      <c r="A6" s="29" t="inlineStr">
        <is>
          <t>R-TV-FAMILY-02</t>
        </is>
      </c>
      <c r="B6" s="29" t="inlineStr">
        <is>
          <t>2026-07-15</t>
        </is>
      </c>
      <c r="C6" s="32" t="inlineStr">
        <is>
          <t>LOCKED</t>
        </is>
      </c>
      <c r="D6" s="29" t="inlineStr">
        <is>
          <t>Carried from Network Model v2</t>
        </is>
      </c>
      <c r="E6" s="29" t="inlineStr">
        <is>
          <t>Network ownership hierarchy. A conference package lists PARENT owners; a game may air on any sub-brand owned by a parent present in that package. Supersedes/extends R-TV-FAMILY-01.</t>
        </is>
      </c>
    </row>
    <row r="7">
      <c r="A7" s="29" t="inlineStr">
        <is>
          <t>R-TV-PROD-01</t>
        </is>
      </c>
      <c r="B7" s="29" t="inlineStr">
        <is>
          <t>2026-07-15</t>
        </is>
      </c>
      <c r="C7" s="32" t="inlineStr">
        <is>
          <t>LOCKED</t>
        </is>
      </c>
      <c r="D7" s="29" t="inlineStr">
        <is>
          <t>Carried from Network Model v2</t>
        </is>
      </c>
      <c r="E7" s="29" t="inlineStr">
        <is>
          <t>Production is an attribute SEPARATE from ownership. Turner (TNT/truTV/MAX) and CW games are ESPN-produced but not ESPN-owned.</t>
        </is>
      </c>
    </row>
    <row r="8">
      <c r="A8" s="29" t="inlineStr">
        <is>
          <t>R-TV-FCS-01</t>
        </is>
      </c>
      <c r="B8" s="29" t="inlineStr">
        <is>
          <t>2026-07-15</t>
        </is>
      </c>
      <c r="C8" s="32" t="inlineStr">
        <is>
          <t>LOCKED</t>
        </is>
      </c>
      <c r="D8" s="29" t="inlineStr">
        <is>
          <t>Carried from Network Model v2</t>
        </is>
      </c>
      <c r="E8" s="29" t="inlineStr">
        <is>
          <t>FCS-host game carrier = the FBS away team's conference network, if available.</t>
        </is>
      </c>
    </row>
    <row r="9">
      <c r="A9" s="29" t="inlineStr">
        <is>
          <t>R-TV-CAP-01</t>
        </is>
      </c>
      <c r="B9" s="29" t="inlineStr">
        <is>
          <t>2026-07-15</t>
        </is>
      </c>
      <c r="C9" s="32" t="inlineStr">
        <is>
          <t>LOCKED</t>
        </is>
      </c>
      <c r="D9" s="29" t="inlineStr">
        <is>
          <t>Carried from Network Model v2</t>
        </is>
      </c>
      <c r="E9" s="29" t="inlineStr">
        <is>
          <t>Carriage agreements impose per-week counts: Big 12 -&gt; TNT 1 game/week; Pac-12 -&gt; USA Network up to 2 games/week. Both effective 2026-07-16. Semantics clarified by R-TV-CAP-02 and R-TV-CEIL-01.</t>
        </is>
      </c>
    </row>
    <row r="10">
      <c r="A10" s="29" t="inlineStr">
        <is>
          <t>R-TV-BTSN-01</t>
        </is>
      </c>
      <c r="B10" s="29" t="inlineStr">
        <is>
          <t>2026-07-15</t>
        </is>
      </c>
      <c r="C10" s="32" t="inlineStr">
        <is>
          <t>LOCKED</t>
        </is>
      </c>
      <c r="D10" s="29" t="inlineStr">
        <is>
          <t>Carried from Network Model v2</t>
        </is>
      </c>
      <c r="E10" s="29" t="inlineStr">
        <is>
          <t>NBC holds a weekly marquee 'Big Ten Saturday Night' broadcast, Saturday 7:30pm ET, occupied by one Big Ten game per week.</t>
        </is>
      </c>
    </row>
    <row r="11">
      <c r="A11" s="29" t="inlineStr">
        <is>
          <t>R-TV-TEAM-01</t>
        </is>
      </c>
      <c r="B11" s="29" t="inlineStr">
        <is>
          <t>2026-07-15</t>
        </is>
      </c>
      <c r="C11" s="32" t="inlineStr">
        <is>
          <t>LOCKED</t>
        </is>
      </c>
      <c r="D11" s="29" t="inlineStr">
        <is>
          <t>Carried from Network Model v2</t>
        </is>
      </c>
      <c r="E11" s="29" t="inlineStr">
        <is>
          <t>Team-level overrides, HOME GAMES ONLY: Hawai'i -&gt; SEN (late window); UConn -&gt; CBSSN/UConn+. When the override team is the road team, the home package governs.</t>
        </is>
      </c>
    </row>
    <row r="12">
      <c r="A12" s="29" t="inlineStr">
        <is>
          <t>R-TV-TIER-01</t>
        </is>
      </c>
      <c r="B12" s="29" t="inlineStr">
        <is>
          <t>2026-07-18</t>
        </is>
      </c>
      <c r="C12" s="32" t="inlineStr">
        <is>
          <t>LOCKED</t>
        </is>
      </c>
      <c r="D12" s="29" t="inlineStr">
        <is>
          <t>Chairman, this session</t>
        </is>
      </c>
      <c r="E12" s="29" t="inlineStr">
        <is>
          <t>Distribution tiers. OTT ONLY: ESPN+, SEN+, Paramount+, Peacock. OTT AND LINEAR: CBSSN, ACCN, BTN. OTT-only outlets have no window scarcity (unlimited concurrent games, no kickoff contention). Linear windows are exclusive: one game per network per slot.</t>
        </is>
      </c>
    </row>
    <row r="13">
      <c r="A13" s="29" t="inlineStr">
        <is>
          <t>R-TV-ECL-01</t>
        </is>
      </c>
      <c r="B13" s="29" t="inlineStr">
        <is>
          <t>2026-07-18</t>
        </is>
      </c>
      <c r="C13" s="32" t="inlineStr">
        <is>
          <t>LOCKED</t>
        </is>
      </c>
      <c r="D13" s="29" t="inlineStr">
        <is>
          <t>Chairman, this session</t>
        </is>
      </c>
      <c r="E13" s="29" t="inlineStr">
        <is>
          <t>All ECL games are carried on CBSSN streaming. Exactly ONE ECL game per week is designated for CBSSN linear coverage. Remaining ECL games are streaming-only. Closes NM-O5.</t>
        </is>
      </c>
    </row>
    <row r="14">
      <c r="A14" s="29" t="inlineStr">
        <is>
          <t>R-TV-USA-01</t>
        </is>
      </c>
      <c r="B14" s="29" t="inlineStr">
        <is>
          <t>2026-07-18</t>
        </is>
      </c>
      <c r="C14" s="32" t="inlineStr">
        <is>
          <t>LOCKED</t>
        </is>
      </c>
      <c r="D14" s="29" t="inlineStr">
        <is>
          <t>Chairman, this session</t>
        </is>
      </c>
      <c r="E14" s="29" t="inlineStr">
        <is>
          <t>USA Network is a STANDALONE owner. It is NOT folded into the NBC/NBCUniversal family. Closes NM-O1.</t>
        </is>
      </c>
    </row>
    <row r="15">
      <c r="A15" s="29" t="inlineStr">
        <is>
          <t>R-TV-CAP-02</t>
        </is>
      </c>
      <c r="B15" s="29" t="inlineStr">
        <is>
          <t>2026-07-18</t>
        </is>
      </c>
      <c r="C15" s="32" t="inlineStr">
        <is>
          <t>LOCKED</t>
        </is>
      </c>
      <c r="D15" s="29" t="inlineStr">
        <is>
          <t>Chairman, this session</t>
        </is>
      </c>
      <c r="E15" s="29" t="inlineStr">
        <is>
          <t>A contracted FIXED INTEGER per-week game count is an OBLIGATION and must be filled. An unfilled fixed-count window is a defect and must fail loud. Applies to: Big 12 -&gt; TNT (1/wk); BTSN NBC (1/wk).</t>
        </is>
      </c>
    </row>
    <row r="16">
      <c r="A16" s="29" t="inlineStr">
        <is>
          <t>R-TV-CEIL-01</t>
        </is>
      </c>
      <c r="B16" s="29" t="inlineStr">
        <is>
          <t>2026-07-18</t>
        </is>
      </c>
      <c r="C16" s="32" t="inlineStr">
        <is>
          <t>LOCKED</t>
        </is>
      </c>
      <c r="D16" s="29" t="inlineStr">
        <is>
          <t>Chairman, this session</t>
        </is>
      </c>
      <c r="E16" s="29" t="inlineStr">
        <is>
          <t>'Up to X' is a CEILING, not an obligation. Unfilled is not a defect. Applies to: Pac-12 -&gt; USA (up to 2/wk); Thursday Night Football on SEN (up to 2, W4-W16); CBS Saturday 8:00pm marquee selection. Closes NM-O2.</t>
        </is>
      </c>
    </row>
    <row r="17">
      <c r="A17" s="29" t="inlineStr">
        <is>
          <t>R-TV-SPILL-01</t>
        </is>
      </c>
      <c r="B17" s="29" t="inlineStr">
        <is>
          <t>2026-07-18</t>
        </is>
      </c>
      <c r="C17" s="36" t="inlineStr">
        <is>
          <t>REVERSED</t>
        </is>
      </c>
      <c r="D17" s="29" t="inlineStr">
        <is>
          <t>Chairman, this session</t>
        </is>
      </c>
      <c r="E17" s="29" t="inlineStr">
        <is>
          <t>SUPERSEDED by R-TV-NOSPILL-01 later the same session. Original text: sub-brand spillover permitted automatically. DO NOT APPLY.</t>
        </is>
      </c>
    </row>
    <row r="18">
      <c r="A18" s="29" t="inlineStr">
        <is>
          <t>R-TV-NOSPILL-01</t>
        </is>
      </c>
      <c r="B18" s="29" t="inlineStr">
        <is>
          <t>2026-07-18</t>
        </is>
      </c>
      <c r="C18" s="32" t="inlineStr">
        <is>
          <t>LOCKED</t>
        </is>
      </c>
      <c r="D18" s="29" t="inlineStr">
        <is>
          <t>Chairman, this session</t>
        </is>
      </c>
      <c r="E18" s="29" t="inlineStr">
        <is>
          <t>NO SPILLOVER. A game may only air on a network EXPLICITLY NAMED in its conference package. Sub-brands of a named parent are NOT automatically available. Reverses R-TV-SPILL-01. Closes NM-O11.</t>
        </is>
      </c>
    </row>
    <row r="19">
      <c r="A19" s="29" t="inlineStr">
        <is>
          <t>R-TV-CASCADE-HOLD-01</t>
        </is>
      </c>
      <c r="B19" s="29" t="inlineStr">
        <is>
          <t>2026-07-18</t>
        </is>
      </c>
      <c r="C19" s="32" t="inlineStr">
        <is>
          <t>LOCKED</t>
        </is>
      </c>
      <c r="D19" s="29" t="inlineStr">
        <is>
          <t>Chairman, this session</t>
        </is>
      </c>
      <c r="E19" s="29" t="inlineStr">
        <is>
          <t>Games that exhaust their package windows, or that reach the unruled R-TV-WINDOW-01 cascade past pick #4, are LEFT UNASSIGNED and tagged NEEDS-RULING for weekly manual Chairman slotting. This unblocks W3-W16 allocation; it does not resolve NM-O6.</t>
        </is>
      </c>
    </row>
    <row r="20">
      <c r="A20" s="29" t="inlineStr">
        <is>
          <t>R-TV-GRID-01</t>
        </is>
      </c>
      <c r="B20" s="29" t="inlineStr">
        <is>
          <t>2026-07-18</t>
        </is>
      </c>
      <c r="C20" s="32" t="inlineStr">
        <is>
          <t>LOCKED</t>
        </is>
      </c>
      <c r="D20" s="29" t="inlineStr">
        <is>
          <t>Chairman, this session</t>
        </is>
      </c>
      <c r="E20" s="29" t="inlineStr">
        <is>
          <t>The 2026 weekly window grid (Thursday / Friday / Saturday, all networks) is adopted as recorded on sheet TV_Window_Grid.</t>
        </is>
      </c>
    </row>
    <row r="21">
      <c r="A21" s="29" t="inlineStr">
        <is>
          <t>R-TV-BTSN-02</t>
        </is>
      </c>
      <c r="B21" s="29" t="inlineStr">
        <is>
          <t>2026-07-18</t>
        </is>
      </c>
      <c r="C21" s="32" t="inlineStr">
        <is>
          <t>LOCKED</t>
        </is>
      </c>
      <c r="D21" s="29" t="inlineStr">
        <is>
          <t>Chairman, this session</t>
        </is>
      </c>
      <c r="E21" s="29" t="inlineStr">
        <is>
          <t>The weekly Big Ten Saturday Night game is a MANUAL Chairman selection. No LLM candidate shortlist is generated, because every available desirability signal is ranking-derived and R-TV-FIREWALL-02 was rejected. Closes NM-O7.</t>
        </is>
      </c>
    </row>
    <row r="22">
      <c r="A22" s="29" t="inlineStr">
        <is>
          <t>R-TV-FIREWALL-02</t>
        </is>
      </c>
      <c r="B22" s="29" t="inlineStr">
        <is>
          <t>2026-07-18</t>
        </is>
      </c>
      <c r="C22" s="36" t="inlineStr">
        <is>
          <t>REJECTED</t>
        </is>
      </c>
      <c r="D22" s="29" t="inlineStr">
        <is>
          <t>Chairman, this session</t>
        </is>
      </c>
      <c r="E22" s="29" t="inlineStr">
        <is>
          <t>REJECTED. Proposed amendment permitting LEDGER-resident polls as a carriage input was declined. R-TV-FIREWALL-01 stands as originally written: TV consumes the LEDGER SCHEDULE only. No poll, standing, or rating input to carriage under any framing.</t>
        </is>
      </c>
    </row>
  </sheetData>
  <autoFilter ref="A2:E22"/>
  <mergeCells count="1">
    <mergeCell ref="A1:E1"/>
  </mergeCells>
  <printOptions horizontalCentered="0"/>
  <pageMargins left="0.25" right="0.25" top="0.5" bottom="0.5" header="0.5" footer="0.5"/>
  <pageSetup orientation="landscape" fitToHeight="0" fitToWidth="1"/>
</worksheet>
</file>

<file path=xl/worksheets/sheet7.xml><?xml version="1.0" encoding="utf-8"?>
<worksheet xmlns="http://schemas.openxmlformats.org/spreadsheetml/2006/main">
  <sheetPr>
    <tabColor rgb="004472C4"/>
    <outlinePr summaryBelow="1" summaryRight="1"/>
    <pageSetUpPr fitToPage="1"/>
  </sheetPr>
  <dimension ref="A1:F15"/>
  <sheetViews>
    <sheetView showGridLines="0" workbookViewId="0">
      <pane ySplit="2" topLeftCell="A3" activePane="bottomLeft" state="frozen"/>
      <selection pane="bottomLeft" activeCell="A1" sqref="A1"/>
    </sheetView>
  </sheetViews>
  <sheetFormatPr baseColWidth="8" defaultRowHeight="15"/>
  <cols>
    <col width="18" customWidth="1" style="26" min="1" max="1"/>
    <col width="10" customWidth="1" style="26" min="2" max="2"/>
    <col width="12" customWidth="1" style="26" min="3" max="3"/>
    <col width="52" customWidth="1" style="26" min="4" max="4"/>
    <col width="52" customWidth="1" style="26" min="5" max="5"/>
    <col width="10" customWidth="1" style="26" min="6" max="6"/>
  </cols>
  <sheetData>
    <row r="1" ht="26" customHeight="1" s="26">
      <c r="A1" s="27" t="inlineStr">
        <is>
          <t>06 TV OPEN ITEMS</t>
        </is>
      </c>
    </row>
    <row r="2">
      <c r="A2" s="28" t="inlineStr">
        <is>
          <t>id</t>
        </is>
      </c>
      <c r="B2" s="28" t="inlineStr">
        <is>
          <t>status</t>
        </is>
      </c>
      <c r="C2" s="28" t="inlineStr">
        <is>
          <t>as_of</t>
        </is>
      </c>
      <c r="D2" s="28" t="inlineStr">
        <is>
          <t>item</t>
        </is>
      </c>
      <c r="E2" s="28" t="inlineStr">
        <is>
          <t>disposition</t>
        </is>
      </c>
      <c r="F2" s="28" t="inlineStr">
        <is>
          <t>owner</t>
        </is>
      </c>
    </row>
    <row r="3">
      <c r="A3" s="29" t="inlineStr">
        <is>
          <t>NM-O1</t>
        </is>
      </c>
      <c r="B3" s="29" t="inlineStr">
        <is>
          <t>CLOSED</t>
        </is>
      </c>
      <c r="C3" s="29" t="inlineStr">
        <is>
          <t>2026-07-18</t>
        </is>
      </c>
      <c r="D3" s="29" t="inlineStr">
        <is>
          <t>USA Network ownership treatment.</t>
        </is>
      </c>
      <c r="E3" s="29" t="inlineStr">
        <is>
          <t>Closed by R-TV-USA-01: standalone.</t>
        </is>
      </c>
      <c r="F3" s="29" t="n"/>
    </row>
    <row r="4">
      <c r="A4" s="29" t="inlineStr">
        <is>
          <t>NM-O2</t>
        </is>
      </c>
      <c r="B4" s="29" t="inlineStr">
        <is>
          <t>CLOSED</t>
        </is>
      </c>
      <c r="C4" s="29" t="inlineStr">
        <is>
          <t>2026-07-18</t>
        </is>
      </c>
      <c r="D4" s="29" t="inlineStr">
        <is>
          <t>Cap semantics: exactly X vs up to X.</t>
        </is>
      </c>
      <c r="E4" s="29" t="inlineStr">
        <is>
          <t>Closed by R-TV-CAP-02 and R-TV-CEIL-01: fixed integer = obligation; 'up to' = ceiling.</t>
        </is>
      </c>
      <c r="F4" s="29" t="n"/>
    </row>
    <row r="5">
      <c r="A5" s="29" t="inlineStr">
        <is>
          <t>NM-O3</t>
        </is>
      </c>
      <c r="B5" s="29" t="inlineStr">
        <is>
          <t>CLOSED</t>
        </is>
      </c>
      <c r="C5" s="29" t="inlineStr">
        <is>
          <t>2026-07-18</t>
        </is>
      </c>
      <c r="D5" s="29" t="inlineStr">
        <is>
          <t>Do sub-brands expand window capacity automatically?</t>
        </is>
      </c>
      <c r="E5" s="29" t="inlineStr">
        <is>
          <t>Closed by R-TV-NOSPILL-01: NO. Only explicitly named package networks are available. Reverses the earlier R-TV-SPILL-01 disposition.</t>
        </is>
      </c>
      <c r="F5" s="29" t="n"/>
    </row>
    <row r="6">
      <c r="A6" s="29" t="inlineStr">
        <is>
          <t>NM-O4</t>
        </is>
      </c>
      <c r="B6" s="31" t="inlineStr">
        <is>
          <t>HELD</t>
        </is>
      </c>
      <c r="C6" s="29" t="inlineStr">
        <is>
          <t>2026-07-18</t>
        </is>
      </c>
      <c r="D6" s="29" t="inlineStr">
        <is>
          <t>W2 collision: G0029 IU and G0061 WASH both assigned linear NBC Sat 7:30pm ET. Cannot co-air.</t>
        </is>
      </c>
      <c r="E6" s="29" t="inlineStr">
        <is>
          <t>HELD by Chairman pending ratings review. W2 carriage remains INTERNALLY CONTRADICTORY until resolved and must not be treated as final.</t>
        </is>
      </c>
      <c r="F6" s="29" t="inlineStr">
        <is>
          <t>Chairman</t>
        </is>
      </c>
    </row>
    <row r="7">
      <c r="A7" s="29" t="inlineStr">
        <is>
          <t>NM-O5</t>
        </is>
      </c>
      <c r="B7" s="29" t="inlineStr">
        <is>
          <t>CLOSED</t>
        </is>
      </c>
      <c r="C7" s="29" t="inlineStr">
        <is>
          <t>2026-07-18</t>
        </is>
      </c>
      <c r="D7" s="29" t="inlineStr">
        <is>
          <t>Linear stacking of ECL on CBSSN and A8 on SEN+.</t>
        </is>
      </c>
      <c r="E7" s="29" t="inlineStr">
        <is>
          <t>Closed by R-TV-TIER-01 and R-TV-ECL-01. SEN+ is OTT-only (no contention). CBSSN resolves as 1 linear + remainder streaming.</t>
        </is>
      </c>
      <c r="F7" s="29" t="n"/>
    </row>
    <row r="8">
      <c r="A8" s="29" t="inlineStr">
        <is>
          <t>NM-O6</t>
        </is>
      </c>
      <c r="B8" s="31" t="inlineStr">
        <is>
          <t>HELD</t>
        </is>
      </c>
      <c r="C8" s="29" t="inlineStr">
        <is>
          <t>2026-07-18</t>
        </is>
      </c>
      <c r="D8" s="29" t="inlineStr">
        <is>
          <t>R-TV-WINDOW-01 cascade past pick #4: wrap to first-listed (interp A) vs dump to last-listed (interp B).</t>
        </is>
      </c>
      <c r="E8" s="29" t="inlineStr">
        <is>
          <t>HELD by Chairman - evolving. No longer BLOCKING: R-TV-CASCADE-HOLD-01 routes affected games to unassigned for manual slotting.</t>
        </is>
      </c>
      <c r="F8" s="29" t="inlineStr">
        <is>
          <t>Chairman</t>
        </is>
      </c>
    </row>
    <row r="9">
      <c r="A9" s="29" t="inlineStr">
        <is>
          <t>NM-O7</t>
        </is>
      </c>
      <c r="B9" s="29" t="inlineStr">
        <is>
          <t>CLOSED</t>
        </is>
      </c>
      <c r="C9" s="29" t="inlineStr">
        <is>
          <t>2026-07-18</t>
        </is>
      </c>
      <c r="D9" s="29" t="inlineStr">
        <is>
          <t>Weekly BTSN selection method.</t>
        </is>
      </c>
      <c r="E9" s="29" t="inlineStr">
        <is>
          <t>Closed by R-TV-BTSN-02: manual Chairman pick, no shortlist. R-TV-FIREWALL-02 rejected.</t>
        </is>
      </c>
      <c r="F9" s="29" t="n"/>
    </row>
    <row r="10">
      <c r="A10" s="29" t="inlineStr">
        <is>
          <t>NM-O8</t>
        </is>
      </c>
      <c r="B10" s="29" t="inlineStr">
        <is>
          <t>CLOSED</t>
        </is>
      </c>
      <c r="C10" s="29" t="inlineStr">
        <is>
          <t>2026-07-18</t>
        </is>
      </c>
      <c r="D10" s="29" t="inlineStr">
        <is>
          <t>TV rulings not recorded in Model_Parameters, the sole durable ledger.</t>
        </is>
      </c>
      <c r="E10" s="29" t="inlineStr">
        <is>
          <t>APPROVED by Chairman. This patch workbook is the merge artifact. Closes on merge into Model_Parameters.</t>
        </is>
      </c>
      <c r="F10" s="29" t="n"/>
    </row>
    <row r="11">
      <c r="A11" s="29" t="inlineStr">
        <is>
          <t>NM-O9</t>
        </is>
      </c>
      <c r="B11" s="31" t="inlineStr">
        <is>
          <t>OPEN</t>
        </is>
      </c>
      <c r="C11" s="29" t="inlineStr">
        <is>
          <t>2026-07-18</t>
        </is>
      </c>
      <c r="D11" s="29" t="inlineStr">
        <is>
          <t>CBS / Paramount+ / TNT Sports acquisition - forward watch item.</t>
        </is>
      </c>
      <c r="E11" s="29" t="inlineStr">
        <is>
          <t>If Turner assets move under CBS, re-open simultaneously: (a) family hierarchy R-TV-FAMILY-02, (b) ESPN production attribution on TNT under R-TV-PROD-01, (c) the Big 12 -&gt; TNT fixed-count obligation under R-TV-CAP-02.</t>
        </is>
      </c>
      <c r="F11" s="29" t="inlineStr">
        <is>
          <t>Chairman</t>
        </is>
      </c>
    </row>
    <row r="12">
      <c r="A12" s="29" t="inlineStr">
        <is>
          <t>NM-O10</t>
        </is>
      </c>
      <c r="B12" s="31" t="inlineStr">
        <is>
          <t>HELD</t>
        </is>
      </c>
      <c r="C12" s="29" t="inlineStr">
        <is>
          <t>2026-07-18</t>
        </is>
      </c>
      <c r="D12" s="29" t="inlineStr">
        <is>
          <t>Weekly game COUNTS undefined for FS1, CBSSN linear, and ACCN.</t>
        </is>
      </c>
      <c r="E12" s="29" t="inlineStr">
        <is>
          <t>Time bands are defined on TV_Window_Grid; per-week counts are not. Allocator must tag these rows COUNT-UNDEFINED and must not exceed one game per network per distinct kickoff time.</t>
        </is>
      </c>
      <c r="F12" s="29" t="inlineStr">
        <is>
          <t>Chairman</t>
        </is>
      </c>
    </row>
    <row r="13">
      <c r="A13" s="29" t="inlineStr">
        <is>
          <t>NM-O11</t>
        </is>
      </c>
      <c r="B13" s="29" t="inlineStr">
        <is>
          <t>CLOSED</t>
        </is>
      </c>
      <c r="C13" s="29" t="inlineStr">
        <is>
          <t>2026-07-18</t>
        </is>
      </c>
      <c r="D13" s="29" t="inlineStr">
        <is>
          <t>Spillover vs hold precedence, and whether linear sub-brands are exhausted before OTT.</t>
        </is>
      </c>
      <c r="E13" s="29" t="inlineStr">
        <is>
          <t>Closed by R-TV-NOSPILL-01: no spillover at all. Unplaceable games go unassigned for manual slotting. OTT outlets are reachable ONLY where explicitly named in the package (e.g. ESPN+ in the American package).</t>
        </is>
      </c>
      <c r="F13" s="29" t="n"/>
    </row>
    <row r="14">
      <c r="A14" s="29" t="inlineStr">
        <is>
          <t>NM-O12</t>
        </is>
      </c>
      <c r="B14" s="31" t="inlineStr">
        <is>
          <t>OPEN</t>
        </is>
      </c>
      <c r="C14" s="29" t="inlineStr">
        <is>
          <t>2026-07-18</t>
        </is>
      </c>
      <c r="D14" s="29" t="inlineStr">
        <is>
          <t>SEN window over-subscription.</t>
        </is>
      </c>
      <c r="E14" s="29" t="inlineStr">
        <is>
          <t>SEN is a named package network for SEC, Big Ten, Big 12, ACC, and Atlantic-8. R-TV-WINDOW-01 grants 2 selection windows per network per conference = 10 claims against a maximum of 10 actual SEN windows per week (7 Sat + 2 Thu ceiling + 1 Fri ceiling). Zero slack, and the Thu/Fri windows are ceilings not obligations. Requires an allocation priority rule between conferences.</t>
        </is>
      </c>
      <c r="F14" s="29" t="inlineStr">
        <is>
          <t>Chairman</t>
        </is>
      </c>
    </row>
    <row r="15">
      <c r="A15" s="29" t="inlineStr">
        <is>
          <t>NM-O13</t>
        </is>
      </c>
      <c r="B15" s="31" t="inlineStr">
        <is>
          <t>OPEN</t>
        </is>
      </c>
      <c r="C15" s="29" t="inlineStr">
        <is>
          <t>2026-07-18</t>
        </is>
      </c>
      <c r="D15" s="29" t="inlineStr">
        <is>
          <t>Manual slotting load under R-TV-NOSPILL-01.</t>
        </is>
      </c>
      <c r="E15" s="29" t="inlineStr">
        <is>
          <t>Estimated ~10-12 games per week have no available named-package window and will require manual Chairman slotting. Across W3-W16 that is roughly 150 manual decisions. SEC is the largest single contributor (~4/week). Consider package amendment as an alternative.</t>
        </is>
      </c>
      <c r="F15" s="29" t="inlineStr">
        <is>
          <t>Chairman</t>
        </is>
      </c>
    </row>
  </sheetData>
  <autoFilter ref="A2:F15"/>
  <mergeCells count="1">
    <mergeCell ref="A1:F1"/>
  </mergeCells>
  <printOptions horizontalCentered="0"/>
  <pageMargins left="0.25" right="0.25" top="0.5" bottom="0.5" header="0.5" footer="0.5"/>
  <pageSetup orientation="landscape" fitToHeight="0" fitToWidth="1"/>
</worksheet>
</file>

<file path=xl/worksheets/sheet8.xml><?xml version="1.0" encoding="utf-8"?>
<worksheet xmlns="http://schemas.openxmlformats.org/spreadsheetml/2006/main">
  <sheetPr>
    <tabColor rgb="004472C4"/>
    <outlinePr summaryBelow="1" summaryRight="1"/>
    <pageSetUpPr fitToPage="1"/>
  </sheetPr>
  <dimension ref="A1:F24"/>
  <sheetViews>
    <sheetView showGridLines="0" workbookViewId="0">
      <pane ySplit="2" topLeftCell="A3" activePane="bottomLeft" state="frozen"/>
      <selection pane="bottomLeft" activeCell="A1" sqref="A1"/>
    </sheetView>
  </sheetViews>
  <sheetFormatPr baseColWidth="8" defaultRowHeight="15"/>
  <cols>
    <col width="19" customWidth="1" style="26" min="1" max="1"/>
    <col width="10" customWidth="1" style="26" min="2" max="2"/>
    <col width="51" customWidth="1" style="26" min="3" max="3"/>
    <col width="52" customWidth="1" style="26" min="4" max="4"/>
    <col width="23" customWidth="1" style="26" min="5" max="5"/>
    <col width="29" customWidth="1" style="26" min="6" max="6"/>
  </cols>
  <sheetData>
    <row r="1" ht="26" customHeight="1" s="26">
      <c r="A1" s="27" t="inlineStr">
        <is>
          <t>07 TV WINDOW GRID</t>
        </is>
      </c>
    </row>
    <row r="2">
      <c r="A2" s="28" t="inlineStr">
        <is>
          <t>day</t>
        </is>
      </c>
      <c r="B2" s="28" t="inlineStr">
        <is>
          <t>network</t>
        </is>
      </c>
      <c r="C2" s="28" t="inlineStr">
        <is>
          <t>slots_et</t>
        </is>
      </c>
      <c r="D2" s="28" t="inlineStr">
        <is>
          <t>notes</t>
        </is>
      </c>
      <c r="E2" s="28" t="inlineStr">
        <is>
          <t>count_semantics</t>
        </is>
      </c>
      <c r="F2" s="28" t="inlineStr">
        <is>
          <t>authority</t>
        </is>
      </c>
    </row>
    <row r="3">
      <c r="A3" s="29" t="inlineStr">
        <is>
          <t>Thursday</t>
        </is>
      </c>
      <c r="B3" s="29" t="inlineStr">
        <is>
          <t>SEN</t>
        </is>
      </c>
      <c r="C3" s="29" t="inlineStr">
        <is>
          <t>7:30 pm</t>
        </is>
      </c>
      <c r="D3" s="29" t="inlineStr">
        <is>
          <t>Thursday Night Football on SEN presented by xAI. Home team in Eastern or Central time zone.</t>
        </is>
      </c>
      <c r="E3" s="29" t="inlineStr">
        <is>
          <t>CEILING 2 (W4-W16)</t>
        </is>
      </c>
      <c r="F3" s="29" t="inlineStr">
        <is>
          <t>R-TV-GRID-01</t>
        </is>
      </c>
    </row>
    <row r="4">
      <c r="A4" s="29" t="inlineStr">
        <is>
          <t>Thursday</t>
        </is>
      </c>
      <c r="B4" s="29" t="inlineStr">
        <is>
          <t>SEN</t>
        </is>
      </c>
      <c r="C4" s="29" t="inlineStr">
        <is>
          <t>9:30 pm</t>
        </is>
      </c>
      <c r="D4" s="29" t="inlineStr">
        <is>
          <t>Thursday Night Football on SEN presented by xAI. Home team in Mountain or Pacific time zone.</t>
        </is>
      </c>
      <c r="E4" s="29" t="inlineStr">
        <is>
          <t>CEILING 2 (W4-W16)</t>
        </is>
      </c>
      <c r="F4" s="29" t="inlineStr">
        <is>
          <t>R-TV-GRID-01</t>
        </is>
      </c>
    </row>
    <row r="5">
      <c r="A5" s="29" t="inlineStr">
        <is>
          <t>Friday</t>
        </is>
      </c>
      <c r="B5" s="29" t="inlineStr">
        <is>
          <t>EBC</t>
        </is>
      </c>
      <c r="C5" s="29" t="inlineStr">
        <is>
          <t>8:00 pm</t>
        </is>
      </c>
      <c r="D5" s="29" t="inlineStr">
        <is>
          <t>Friday Night CFB on EBC</t>
        </is>
      </c>
      <c r="E5" s="29" t="inlineStr">
        <is>
          <t>CEILING 1</t>
        </is>
      </c>
      <c r="F5" s="29" t="inlineStr">
        <is>
          <t>R-TV-GRID-01</t>
        </is>
      </c>
    </row>
    <row r="6">
      <c r="A6" s="29" t="inlineStr">
        <is>
          <t>Friday</t>
        </is>
      </c>
      <c r="B6" s="29" t="inlineStr">
        <is>
          <t>SEN</t>
        </is>
      </c>
      <c r="C6" s="29" t="inlineStr">
        <is>
          <t>9:00 pm</t>
        </is>
      </c>
      <c r="D6" s="29" t="inlineStr">
        <is>
          <t>Friday Night CFB on SEN</t>
        </is>
      </c>
      <c r="E6" s="29" t="inlineStr">
        <is>
          <t>CEILING 1</t>
        </is>
      </c>
      <c r="F6" s="29" t="inlineStr">
        <is>
          <t>R-TV-GRID-01</t>
        </is>
      </c>
    </row>
    <row r="7">
      <c r="A7" s="29" t="inlineStr">
        <is>
          <t>Friday</t>
        </is>
      </c>
      <c r="B7" s="29" t="inlineStr">
        <is>
          <t>CW</t>
        </is>
      </c>
      <c r="C7" s="29" t="inlineStr">
        <is>
          <t>8:00 pm / 9:00 pm</t>
        </is>
      </c>
      <c r="D7" s="29" t="inlineStr">
        <is>
          <t>Dedicated Friday night programming</t>
        </is>
      </c>
      <c r="E7" s="29" t="inlineStr">
        <is>
          <t>COUNT-UNDEFINED</t>
        </is>
      </c>
      <c r="F7" s="29" t="inlineStr">
        <is>
          <t>R-TV-GRID-01</t>
        </is>
      </c>
    </row>
    <row r="8">
      <c r="A8" s="29" t="inlineStr">
        <is>
          <t>Friday</t>
        </is>
      </c>
      <c r="B8" s="29" t="inlineStr">
        <is>
          <t>CBSSN</t>
        </is>
      </c>
      <c r="C8" s="29" t="inlineStr">
        <is>
          <t>primetime</t>
        </is>
      </c>
      <c r="D8" s="29" t="inlineStr">
        <is>
          <t>Consistent Friday night primetime slots</t>
        </is>
      </c>
      <c r="E8" s="29" t="inlineStr">
        <is>
          <t>COUNT-UNDEFINED</t>
        </is>
      </c>
      <c r="F8" s="29" t="inlineStr">
        <is>
          <t>R-TV-GRID-01</t>
        </is>
      </c>
    </row>
    <row r="9">
      <c r="A9" s="29" t="inlineStr">
        <is>
          <t>Saturday</t>
        </is>
      </c>
      <c r="B9" s="29" t="inlineStr">
        <is>
          <t>SEN</t>
        </is>
      </c>
      <c r="C9" s="29" t="inlineStr">
        <is>
          <t>10:00 am - 12:00 pm</t>
        </is>
      </c>
      <c r="D9" s="29" t="inlineStr">
        <is>
          <t>SEN Saturday CFB Pregame - STUDIO, not a game window</t>
        </is>
      </c>
      <c r="E9" s="29" t="inlineStr">
        <is>
          <t>N/A</t>
        </is>
      </c>
      <c r="F9" s="29" t="inlineStr">
        <is>
          <t>R-TV-GRID-01</t>
        </is>
      </c>
    </row>
    <row r="10">
      <c r="A10" s="29" t="inlineStr">
        <is>
          <t>Saturday</t>
        </is>
      </c>
      <c r="B10" s="29" t="inlineStr">
        <is>
          <t>SEN</t>
        </is>
      </c>
      <c r="C10" s="29" t="inlineStr">
        <is>
          <t>12:00, 2:10, 4:30, 6:10, 8:15, 10:00 pm, 12:00 am</t>
        </is>
      </c>
      <c r="D10" s="29" t="inlineStr">
        <is>
          <t>12:00 am slot absorbs the Hawai'i home-game late window per R-TV-TEAM-01</t>
        </is>
      </c>
      <c r="E10" s="29" t="inlineStr">
        <is>
          <t>7 windows</t>
        </is>
      </c>
      <c r="F10" s="29" t="inlineStr">
        <is>
          <t>R-TV-GRID-01</t>
        </is>
      </c>
    </row>
    <row r="11">
      <c r="A11" s="29" t="inlineStr">
        <is>
          <t>Saturday</t>
        </is>
      </c>
      <c r="B11" s="29" t="inlineStr">
        <is>
          <t>EBC</t>
        </is>
      </c>
      <c r="C11" s="29" t="inlineStr">
        <is>
          <t>12:00, 3:30, 8:00 pm</t>
        </is>
      </c>
      <c r="D11" s="29" t="n"/>
      <c r="E11" s="29" t="inlineStr">
        <is>
          <t>3 windows</t>
        </is>
      </c>
      <c r="F11" s="29" t="inlineStr">
        <is>
          <t>R-TV-GRID-01</t>
        </is>
      </c>
    </row>
    <row r="12">
      <c r="A12" s="29" t="inlineStr">
        <is>
          <t>Saturday</t>
        </is>
      </c>
      <c r="B12" s="29" t="inlineStr">
        <is>
          <t>ESPN</t>
        </is>
      </c>
      <c r="C12" s="29" t="inlineStr">
        <is>
          <t>12:00, 3:30, 7:15, 10:30 pm</t>
        </is>
      </c>
      <c r="D12" s="29" t="inlineStr">
        <is>
          <t>Regional coverage permitted in local markets</t>
        </is>
      </c>
      <c r="E12" s="29" t="inlineStr">
        <is>
          <t>4 windows</t>
        </is>
      </c>
      <c r="F12" s="29" t="inlineStr">
        <is>
          <t>R-TV-GRID-01</t>
        </is>
      </c>
    </row>
    <row r="13">
      <c r="A13" s="29" t="inlineStr">
        <is>
          <t>Saturday</t>
        </is>
      </c>
      <c r="B13" s="29" t="inlineStr">
        <is>
          <t>ABC</t>
        </is>
      </c>
      <c r="C13" s="29" t="inlineStr">
        <is>
          <t>12:00, 3:30, 7:30 pm</t>
        </is>
      </c>
      <c r="D13" s="29" t="inlineStr">
        <is>
          <t>Regional coverage permitted in local markets</t>
        </is>
      </c>
      <c r="E13" s="29" t="inlineStr">
        <is>
          <t>3 windows</t>
        </is>
      </c>
      <c r="F13" s="29" t="inlineStr">
        <is>
          <t>R-TV-GRID-01</t>
        </is>
      </c>
    </row>
    <row r="14">
      <c r="A14" s="29" t="inlineStr">
        <is>
          <t>Saturday</t>
        </is>
      </c>
      <c r="B14" s="29" t="inlineStr">
        <is>
          <t>FOX</t>
        </is>
      </c>
      <c r="C14" s="29" t="inlineStr">
        <is>
          <t>12:00, 3:30, prime-time FLEX</t>
        </is>
      </c>
      <c r="D14" s="29" t="inlineStr">
        <is>
          <t>Flex kickoff set by Chairman editorial selection</t>
        </is>
      </c>
      <c r="E14" s="29" t="inlineStr">
        <is>
          <t>3 windows</t>
        </is>
      </c>
      <c r="F14" s="29" t="inlineStr">
        <is>
          <t>R-TV-GRID-01</t>
        </is>
      </c>
    </row>
    <row r="15">
      <c r="A15" s="29" t="inlineStr">
        <is>
          <t>Saturday</t>
        </is>
      </c>
      <c r="B15" s="29" t="inlineStr">
        <is>
          <t>CBS</t>
        </is>
      </c>
      <c r="C15" s="29" t="inlineStr">
        <is>
          <t>12:00, 3:30, 8:00 pm</t>
        </is>
      </c>
      <c r="D15" s="29" t="inlineStr">
        <is>
          <t>8:00 pm is a special marquee matchup selection - CEILING, not weekly. Regional coverage permitted.</t>
        </is>
      </c>
      <c r="E15" s="29" t="inlineStr">
        <is>
          <t>2 fixed + 1 ceiling</t>
        </is>
      </c>
      <c r="F15" s="29" t="inlineStr">
        <is>
          <t>R-TV-GRID-01</t>
        </is>
      </c>
    </row>
    <row r="16">
      <c r="A16" s="29" t="inlineStr">
        <is>
          <t>Saturday</t>
        </is>
      </c>
      <c r="B16" s="29" t="inlineStr">
        <is>
          <t>NBC</t>
        </is>
      </c>
      <c r="C16" s="29" t="inlineStr">
        <is>
          <t>12:00, 3:30, 7:30 pm</t>
        </is>
      </c>
      <c r="D16" s="29" t="inlineStr">
        <is>
          <t>7:30 pm is Big Ten Saturday Night - OBLIGATION, 1 Big Ten game per week</t>
        </is>
      </c>
      <c r="E16" s="29" t="inlineStr">
        <is>
          <t>3 windows</t>
        </is>
      </c>
      <c r="F16" s="29" t="inlineStr">
        <is>
          <t>R-TV-GRID-01 / R-TV-BTSN-01</t>
        </is>
      </c>
    </row>
    <row r="17">
      <c r="A17" s="29" t="inlineStr">
        <is>
          <t>Saturday</t>
        </is>
      </c>
      <c r="B17" s="29" t="inlineStr">
        <is>
          <t>CW</t>
        </is>
      </c>
      <c r="C17" s="29" t="inlineStr">
        <is>
          <t>3:00 or 3:30; 7:00 or 7:30; 10:00 or 11:00 pm</t>
        </is>
      </c>
      <c r="D17" s="29" t="inlineStr">
        <is>
          <t>Flexible mix - afternoon, primetime, late night. One game per band.</t>
        </is>
      </c>
      <c r="E17" s="29" t="inlineStr">
        <is>
          <t>3 windows</t>
        </is>
      </c>
      <c r="F17" s="29" t="inlineStr">
        <is>
          <t>R-TV-GRID-01</t>
        </is>
      </c>
    </row>
    <row r="18">
      <c r="A18" s="29" t="inlineStr">
        <is>
          <t>Saturday</t>
        </is>
      </c>
      <c r="B18" s="29" t="inlineStr">
        <is>
          <t>FS1</t>
        </is>
      </c>
      <c r="C18" s="29" t="inlineStr">
        <is>
          <t>9:00 - 11:00 pm band</t>
        </is>
      </c>
      <c r="D18" s="29" t="inlineStr">
        <is>
          <t>Late-night anchor for western matchups; complements the primary FOX slate</t>
        </is>
      </c>
      <c r="E18" s="29" t="inlineStr">
        <is>
          <t>COUNT-UNDEFINED</t>
        </is>
      </c>
      <c r="F18" s="29" t="inlineStr">
        <is>
          <t>R-TV-GRID-01 / NM-O10</t>
        </is>
      </c>
    </row>
    <row r="19">
      <c r="A19" s="29" t="inlineStr">
        <is>
          <t>Saturday</t>
        </is>
      </c>
      <c r="B19" s="29" t="inlineStr">
        <is>
          <t>TNT</t>
        </is>
      </c>
      <c r="C19" s="29" t="inlineStr">
        <is>
          <t>TIME-UNSLOTTED, 12:00 pm - 10:30 pm</t>
        </is>
      </c>
      <c r="D19" s="29" t="inlineStr">
        <is>
          <t>Fluid in regular season, placed around other Turner programming. ESPN-produced.</t>
        </is>
      </c>
      <c r="E19" s="29" t="inlineStr">
        <is>
          <t>1 (Big 12 obligation)</t>
        </is>
      </c>
      <c r="F19" s="29" t="inlineStr">
        <is>
          <t>R-TV-GRID-01 / R-TV-CAP-02</t>
        </is>
      </c>
    </row>
    <row r="20">
      <c r="A20" s="29" t="inlineStr">
        <is>
          <t>Postseason</t>
        </is>
      </c>
      <c r="B20" s="29" t="inlineStr">
        <is>
          <t>TNT</t>
        </is>
      </c>
      <c r="C20" s="29" t="inlineStr">
        <is>
          <t>12:00, 3:30, 7:30 pm</t>
        </is>
      </c>
      <c r="D20" s="29" t="inlineStr">
        <is>
          <t>STRICT windows for College Football Playoff sublicensed broadcasts only</t>
        </is>
      </c>
      <c r="E20" s="29" t="inlineStr">
        <is>
          <t>N/A</t>
        </is>
      </c>
      <c r="F20" s="29" t="inlineStr">
        <is>
          <t>R-TV-GRID-01</t>
        </is>
      </c>
    </row>
    <row r="21">
      <c r="A21" s="29" t="inlineStr">
        <is>
          <t>Saturday</t>
        </is>
      </c>
      <c r="B21" s="29" t="inlineStr">
        <is>
          <t>USA</t>
        </is>
      </c>
      <c r="C21" s="29" t="inlineStr">
        <is>
          <t>6:00 pm and 9:30 pm; occasional 12:00 or 3:30 pm</t>
        </is>
      </c>
      <c r="D21" s="29" t="inlineStr">
        <is>
          <t>Rigidly structured Pac-12 doubleheader</t>
        </is>
      </c>
      <c r="E21" s="29" t="inlineStr">
        <is>
          <t>CEILING 2</t>
        </is>
      </c>
      <c r="F21" s="29" t="inlineStr">
        <is>
          <t>R-TV-GRID-01 / R-TV-CEIL-01</t>
        </is>
      </c>
    </row>
    <row r="22">
      <c r="A22" s="29" t="inlineStr">
        <is>
          <t>Saturday</t>
        </is>
      </c>
      <c r="B22" s="29" t="inlineStr">
        <is>
          <t>CBSSN</t>
        </is>
      </c>
      <c r="C22" s="29" t="inlineStr">
        <is>
          <t>3:30 pm - 10:30 pm band</t>
        </is>
      </c>
      <c r="D22" s="29" t="inlineStr">
        <is>
          <t>Dense volume of windows. Exactly 1 ECL game per week is linear per R-TV-ECL-01.</t>
        </is>
      </c>
      <c r="E22" s="29" t="inlineStr">
        <is>
          <t>COUNT-UNDEFINED</t>
        </is>
      </c>
      <c r="F22" s="29" t="inlineStr">
        <is>
          <t>R-TV-GRID-01 / NM-O10</t>
        </is>
      </c>
    </row>
    <row r="23">
      <c r="A23" s="29" t="inlineStr">
        <is>
          <t>Saturday</t>
        </is>
      </c>
      <c r="B23" s="29" t="inlineStr">
        <is>
          <t>ACCN</t>
        </is>
      </c>
      <c r="C23" s="29" t="inlineStr">
        <is>
          <t>Evening / primetime anchored, e.g. 7:00 pm</t>
        </is>
      </c>
      <c r="D23" s="29" t="inlineStr">
        <is>
          <t>ESPN-managed windows accommodating ACC inventory</t>
        </is>
      </c>
      <c r="E23" s="29" t="inlineStr">
        <is>
          <t>COUNT-UNDEFINED</t>
        </is>
      </c>
      <c r="F23" s="29" t="inlineStr">
        <is>
          <t>R-TV-GRID-01 / NM-O10</t>
        </is>
      </c>
    </row>
    <row r="24">
      <c r="A24" s="29" t="inlineStr">
        <is>
          <t>Saturday</t>
        </is>
      </c>
      <c r="B24" s="29" t="inlineStr">
        <is>
          <t>BTN</t>
        </is>
      </c>
      <c r="C24" s="29" t="inlineStr">
        <is>
          <t>3:30 pm, 4:15 pm</t>
        </is>
      </c>
      <c r="D24" s="29" t="inlineStr">
        <is>
          <t>Standardized afternoon windows slotted systematically around the FOX, CBS, and NBC Big Ten grids</t>
        </is>
      </c>
      <c r="E24" s="29" t="inlineStr">
        <is>
          <t>2 windows</t>
        </is>
      </c>
      <c r="F24" s="29" t="inlineStr">
        <is>
          <t>R-TV-GRID-01</t>
        </is>
      </c>
    </row>
  </sheetData>
  <autoFilter ref="A2:F24"/>
  <mergeCells count="1">
    <mergeCell ref="A1:F1"/>
  </mergeCells>
  <printOptions horizontalCentered="0"/>
  <pageMargins left="0.25" right="0.25" top="0.5" bottom="0.5" header="0.5" footer="0.5"/>
  <pageSetup orientation="landscape" fitToHeight="0" fitToWidth="1"/>
</worksheet>
</file>

<file path=xl/worksheets/sheet9.xml><?xml version="1.0" encoding="utf-8"?>
<worksheet xmlns="http://schemas.openxmlformats.org/spreadsheetml/2006/main">
  <sheetPr>
    <tabColor rgb="004472C4"/>
    <outlinePr summaryBelow="1" summaryRight="1"/>
    <pageSetUpPr fitToPage="1"/>
  </sheetPr>
  <dimension ref="A1:P27"/>
  <sheetViews>
    <sheetView showGridLines="0" workbookViewId="0">
      <pane ySplit="2" topLeftCell="A3" activePane="bottomLeft" state="frozen"/>
      <selection pane="bottomLeft" activeCell="A1" sqref="A1"/>
    </sheetView>
  </sheetViews>
  <sheetFormatPr baseColWidth="8" defaultRowHeight="15"/>
  <cols>
    <col width="44" customWidth="1" style="26" min="1" max="1"/>
    <col width="12" customWidth="1" style="26" min="2" max="2"/>
    <col width="10" customWidth="1" style="26" min="3" max="3"/>
    <col width="13" customWidth="1" style="26" min="4" max="4"/>
    <col width="13" customWidth="1" style="26" min="5" max="5"/>
    <col width="10" customWidth="1" style="26" min="6" max="6"/>
    <col width="10" customWidth="1" style="26" min="7" max="7"/>
    <col width="11" customWidth="1" style="26" min="8" max="8"/>
    <col width="10" customWidth="1" style="26" min="9" max="9"/>
    <col width="10" customWidth="1" style="26" min="10" max="10"/>
    <col width="10" customWidth="1" style="26" min="11" max="11"/>
    <col width="10" customWidth="1" style="26" min="12" max="12"/>
    <col width="17" customWidth="1" style="26" min="13" max="13"/>
    <col width="10" customWidth="1" style="26" min="14" max="14"/>
    <col width="10" customWidth="1" style="26" min="15" max="15"/>
    <col width="10" customWidth="1" style="26" min="16" max="16"/>
  </cols>
  <sheetData>
    <row r="1" ht="26" customHeight="1" s="26">
      <c r="A1" s="27" t="inlineStr">
        <is>
          <t>BOARD I-H v2 — TOP 25 AND MODEL COMPONENTS</t>
        </is>
      </c>
    </row>
    <row r="2">
      <c r="A2" s="28" t="inlineStr">
        <is>
          <t>rank_H</t>
        </is>
      </c>
      <c r="B2" s="28" t="inlineStr">
        <is>
          <t>team</t>
        </is>
      </c>
      <c r="C2" s="28" t="inlineStr">
        <is>
          <t>short</t>
        </is>
      </c>
      <c r="D2" s="28" t="inlineStr">
        <is>
          <t>conference</t>
        </is>
      </c>
      <c r="E2" s="28" t="inlineStr">
        <is>
          <t>committee_H</t>
        </is>
      </c>
      <c r="F2" s="28" t="inlineStr">
        <is>
          <t>power_H</t>
        </is>
      </c>
      <c r="G2" s="28" t="inlineStr">
        <is>
          <t>baseline</t>
        </is>
      </c>
      <c r="H2" s="28" t="inlineStr">
        <is>
          <t>returning</t>
        </is>
      </c>
      <c r="I2" s="28" t="inlineStr">
        <is>
          <t>movement</t>
        </is>
      </c>
      <c r="J2" s="28" t="inlineStr">
        <is>
          <t>talent</t>
        </is>
      </c>
      <c r="K2" s="28" t="inlineStr">
        <is>
          <t>coaching</t>
        </is>
      </c>
      <c r="L2" s="28" t="inlineStr">
        <is>
          <t>market</t>
        </is>
      </c>
      <c r="M2" s="28" t="inlineStr">
        <is>
          <t>ecology_RETIRED</t>
        </is>
      </c>
      <c r="N2" s="28" t="inlineStr">
        <is>
          <t>247_pts</t>
        </is>
      </c>
      <c r="O2" s="28" t="inlineStr">
        <is>
          <t>rank_I</t>
        </is>
      </c>
      <c r="P2" s="28" t="inlineStr">
        <is>
          <t>shift</t>
        </is>
      </c>
    </row>
    <row r="3">
      <c r="A3" s="35" t="n">
        <v>1</v>
      </c>
      <c r="B3" s="29" t="inlineStr">
        <is>
          <t>Georgia</t>
        </is>
      </c>
      <c r="C3" s="29" t="inlineStr">
        <is>
          <t>UGA</t>
        </is>
      </c>
      <c r="D3" s="29" t="inlineStr">
        <is>
          <t>SEC</t>
        </is>
      </c>
      <c r="E3" s="37" t="n">
        <v>0.815075</v>
      </c>
      <c r="F3" s="37" t="n">
        <v>0.81799</v>
      </c>
      <c r="G3" s="37" t="n">
        <v>0.8814</v>
      </c>
      <c r="H3" s="37" t="n">
        <v>0.7425</v>
      </c>
      <c r="I3" s="37" t="n">
        <v>0.5639</v>
      </c>
      <c r="J3" s="37" t="n">
        <v>0.96</v>
      </c>
      <c r="K3" s="37" t="n">
        <v>1</v>
      </c>
      <c r="L3" s="37" t="n">
        <v>0.7852</v>
      </c>
      <c r="M3" s="37" t="n">
        <v>0.95</v>
      </c>
      <c r="N3" s="35" t="n">
        <v>41.71</v>
      </c>
      <c r="O3" s="35" t="n">
        <v>1</v>
      </c>
      <c r="P3" s="35" t="n">
        <v>0</v>
      </c>
    </row>
    <row r="4">
      <c r="A4" s="35" t="n">
        <v>2</v>
      </c>
      <c r="B4" s="29" t="inlineStr">
        <is>
          <t>Texas</t>
        </is>
      </c>
      <c r="C4" s="29" t="inlineStr">
        <is>
          <t>TEX</t>
        </is>
      </c>
      <c r="D4" s="29" t="inlineStr">
        <is>
          <t>SEC</t>
        </is>
      </c>
      <c r="E4" s="37" t="n">
        <v>0.813805</v>
      </c>
      <c r="F4" s="37" t="n">
        <v>0.816869</v>
      </c>
      <c r="G4" s="37" t="n">
        <v>0.9084</v>
      </c>
      <c r="H4" s="37" t="n">
        <v>0.7245</v>
      </c>
      <c r="I4" s="37" t="n">
        <v>0.614</v>
      </c>
      <c r="J4" s="37" t="n">
        <v>0.915</v>
      </c>
      <c r="K4" s="37" t="n">
        <v>0.85</v>
      </c>
      <c r="L4" s="37" t="n">
        <v>0.7824</v>
      </c>
      <c r="M4" s="37" t="n">
        <v>0.95</v>
      </c>
      <c r="N4" s="35" t="n">
        <v>60.38</v>
      </c>
      <c r="O4" s="35" t="n">
        <v>2</v>
      </c>
      <c r="P4" s="35" t="n">
        <v>0</v>
      </c>
    </row>
    <row r="5">
      <c r="A5" s="35" t="n">
        <v>3</v>
      </c>
      <c r="B5" s="29" t="inlineStr">
        <is>
          <t>Miami</t>
        </is>
      </c>
      <c r="C5" s="29" t="inlineStr">
        <is>
          <t>MIA</t>
        </is>
      </c>
      <c r="D5" s="29" t="inlineStr">
        <is>
          <t>ACC</t>
        </is>
      </c>
      <c r="E5" s="37" t="n">
        <v>0.802912</v>
      </c>
      <c r="F5" s="37" t="n">
        <v>0.796767</v>
      </c>
      <c r="G5" s="37" t="n">
        <v>0.9923999999999999</v>
      </c>
      <c r="H5" s="37" t="n">
        <v>0.4701</v>
      </c>
      <c r="I5" s="37" t="n">
        <v>0.5935</v>
      </c>
      <c r="J5" s="37" t="n">
        <v>0.82</v>
      </c>
      <c r="K5" s="37" t="n">
        <v>1</v>
      </c>
      <c r="L5" s="37" t="n">
        <v>0.8659</v>
      </c>
      <c r="M5" s="37" t="n">
        <v>0.8</v>
      </c>
      <c r="N5" s="35" t="n">
        <v>52.35</v>
      </c>
      <c r="O5" s="35" t="n">
        <v>3</v>
      </c>
      <c r="P5" s="35" t="n">
        <v>0</v>
      </c>
    </row>
    <row r="6">
      <c r="A6" s="35" t="n">
        <v>4</v>
      </c>
      <c r="B6" s="29" t="inlineStr">
        <is>
          <t>Oregon</t>
        </is>
      </c>
      <c r="C6" s="29" t="inlineStr">
        <is>
          <t>ORE</t>
        </is>
      </c>
      <c r="D6" s="29" t="inlineStr">
        <is>
          <t>Big Ten</t>
        </is>
      </c>
      <c r="E6" s="37" t="n">
        <v>0.784212</v>
      </c>
      <c r="F6" s="37" t="n">
        <v>0.776604</v>
      </c>
      <c r="G6" s="37" t="n">
        <v>0.8668</v>
      </c>
      <c r="H6" s="37" t="n">
        <v>0.7309</v>
      </c>
      <c r="I6" s="37" t="n">
        <v>0.5531</v>
      </c>
      <c r="J6" s="37" t="n">
        <v>0.9</v>
      </c>
      <c r="K6" s="37" t="n">
        <v>0.7</v>
      </c>
      <c r="L6" s="37" t="n">
        <v>0.8622</v>
      </c>
      <c r="M6" s="37" t="n">
        <v>0.925</v>
      </c>
      <c r="N6" s="35" t="n">
        <v>38.13</v>
      </c>
      <c r="O6" s="35" t="n">
        <v>4</v>
      </c>
      <c r="P6" s="35" t="n">
        <v>0</v>
      </c>
    </row>
    <row r="7">
      <c r="A7" s="35" t="n">
        <v>5</v>
      </c>
      <c r="B7" s="29" t="inlineStr">
        <is>
          <t>Texas Tech</t>
        </is>
      </c>
      <c r="C7" s="29" t="inlineStr">
        <is>
          <t>TTU</t>
        </is>
      </c>
      <c r="D7" s="29" t="inlineStr">
        <is>
          <t>Big 12</t>
        </is>
      </c>
      <c r="E7" s="37" t="n">
        <v>0.778288</v>
      </c>
      <c r="F7" s="37" t="n">
        <v>0.771818</v>
      </c>
      <c r="G7" s="37" t="n">
        <v>0.9088000000000001</v>
      </c>
      <c r="H7" s="37" t="n">
        <v>0.5749</v>
      </c>
      <c r="I7" s="37" t="n">
        <v>0.5916</v>
      </c>
      <c r="J7" s="37" t="n">
        <v>0.717</v>
      </c>
      <c r="K7" s="37" t="n">
        <v>1</v>
      </c>
      <c r="L7" s="37" t="n">
        <v>0.8446</v>
      </c>
      <c r="M7" s="37" t="n">
        <v>0.825</v>
      </c>
      <c r="N7" s="35" t="n">
        <v>51.6</v>
      </c>
      <c r="O7" s="35" t="n">
        <v>6</v>
      </c>
      <c r="P7" s="35" t="n">
        <v>1</v>
      </c>
    </row>
    <row r="8">
      <c r="A8" s="35" t="n">
        <v>6</v>
      </c>
      <c r="B8" s="29" t="inlineStr">
        <is>
          <t>Indiana</t>
        </is>
      </c>
      <c r="C8" s="29" t="inlineStr">
        <is>
          <t>IU</t>
        </is>
      </c>
      <c r="D8" s="29" t="inlineStr">
        <is>
          <t>Big Ten</t>
        </is>
      </c>
      <c r="E8" s="37" t="n">
        <v>0.775899</v>
      </c>
      <c r="F8" s="37" t="n">
        <v>0.767382</v>
      </c>
      <c r="G8" s="37" t="n">
        <v>0.9831</v>
      </c>
      <c r="H8" s="37" t="n">
        <v>0.5153</v>
      </c>
      <c r="I8" s="37" t="n">
        <v>0.5829</v>
      </c>
      <c r="J8" s="37" t="n">
        <v>0.511</v>
      </c>
      <c r="K8" s="37" t="n">
        <v>1</v>
      </c>
      <c r="L8" s="37" t="n">
        <v>0.8632</v>
      </c>
      <c r="M8" s="37" t="n">
        <v>0.925</v>
      </c>
      <c r="N8" s="35" t="n">
        <v>48.38</v>
      </c>
      <c r="O8" s="35" t="n">
        <v>5</v>
      </c>
      <c r="P8" s="35" t="n">
        <v>-1</v>
      </c>
    </row>
    <row r="9">
      <c r="A9" s="35" t="n">
        <v>7</v>
      </c>
      <c r="B9" s="29" t="inlineStr">
        <is>
          <t>Alabama</t>
        </is>
      </c>
      <c r="C9" s="29" t="inlineStr">
        <is>
          <t>ALA</t>
        </is>
      </c>
      <c r="D9" s="29" t="inlineStr">
        <is>
          <t>SEC</t>
        </is>
      </c>
      <c r="E9" s="37" t="n">
        <v>0.752301</v>
      </c>
      <c r="F9" s="37" t="n">
        <v>0.757511</v>
      </c>
      <c r="G9" s="37" t="n">
        <v>0.9003</v>
      </c>
      <c r="H9" s="37" t="n">
        <v>0.4346</v>
      </c>
      <c r="I9" s="37" t="n">
        <v>0.5611</v>
      </c>
      <c r="J9" s="37" t="n">
        <v>0.945</v>
      </c>
      <c r="K9" s="37" t="n">
        <v>1</v>
      </c>
      <c r="L9" s="37" t="n">
        <v>0.6989</v>
      </c>
      <c r="M9" s="37" t="n">
        <v>0.95</v>
      </c>
      <c r="N9" s="35" t="n">
        <v>40.76</v>
      </c>
      <c r="O9" s="35" t="n">
        <v>7</v>
      </c>
      <c r="P9" s="35" t="n">
        <v>0</v>
      </c>
    </row>
    <row r="10">
      <c r="A10" s="35" t="n">
        <v>8</v>
      </c>
      <c r="B10" s="29" t="inlineStr">
        <is>
          <t>Ohio State</t>
        </is>
      </c>
      <c r="C10" s="29" t="inlineStr">
        <is>
          <t>OSU</t>
        </is>
      </c>
      <c r="D10" s="29" t="inlineStr">
        <is>
          <t>Big Ten</t>
        </is>
      </c>
      <c r="E10" s="37" t="n">
        <v>0.751059</v>
      </c>
      <c r="F10" s="37" t="n">
        <v>0.748607</v>
      </c>
      <c r="G10" s="37" t="n">
        <v>0.79</v>
      </c>
      <c r="H10" s="37" t="n">
        <v>0.6571</v>
      </c>
      <c r="I10" s="37" t="n">
        <v>0.5886</v>
      </c>
      <c r="J10" s="37" t="n">
        <v>0.93</v>
      </c>
      <c r="K10" s="37" t="n">
        <v>0.85</v>
      </c>
      <c r="L10" s="37" t="n">
        <v>0.7762</v>
      </c>
      <c r="M10" s="37" t="n">
        <v>0.925</v>
      </c>
      <c r="N10" s="35" t="n">
        <v>50.5</v>
      </c>
      <c r="O10" s="35" t="n">
        <v>8</v>
      </c>
      <c r="P10" s="35" t="n">
        <v>0</v>
      </c>
    </row>
    <row r="11">
      <c r="A11" s="35" t="n">
        <v>9</v>
      </c>
      <c r="B11" s="29" t="inlineStr">
        <is>
          <t>Notre Dame</t>
        </is>
      </c>
      <c r="C11" s="29" t="inlineStr">
        <is>
          <t>ND</t>
        </is>
      </c>
      <c r="D11" s="29" t="inlineStr">
        <is>
          <t>Independent</t>
        </is>
      </c>
      <c r="E11" s="37" t="n">
        <v>0.746688</v>
      </c>
      <c r="F11" s="37" t="n">
        <v>0.726512</v>
      </c>
      <c r="G11" s="37" t="n">
        <v>0.674</v>
      </c>
      <c r="H11" s="37" t="n">
        <v>0.7737000000000001</v>
      </c>
      <c r="I11" s="37" t="n">
        <v>0.5726</v>
      </c>
      <c r="J11" s="37" t="n">
        <v>0.868</v>
      </c>
      <c r="K11" s="37" t="n">
        <v>1</v>
      </c>
      <c r="L11" s="37" t="n">
        <v>0.9535</v>
      </c>
      <c r="M11" s="37" t="n">
        <v>0.5</v>
      </c>
      <c r="N11" s="35" t="n">
        <v>44.7</v>
      </c>
      <c r="O11" s="35" t="n">
        <v>10</v>
      </c>
      <c r="P11" s="35" t="n">
        <v>1</v>
      </c>
    </row>
    <row r="12">
      <c r="A12" s="35" t="n">
        <v>10</v>
      </c>
      <c r="B12" s="29" t="inlineStr">
        <is>
          <t>Texas A&amp;M</t>
        </is>
      </c>
      <c r="C12" s="29" t="inlineStr">
        <is>
          <t>TA&amp;M</t>
        </is>
      </c>
      <c r="D12" s="29" t="inlineStr">
        <is>
          <t>SEC</t>
        </is>
      </c>
      <c r="E12" s="37" t="n">
        <v>0.731414</v>
      </c>
      <c r="F12" s="37" t="n">
        <v>0.737259</v>
      </c>
      <c r="G12" s="37" t="n">
        <v>0.7895</v>
      </c>
      <c r="H12" s="37" t="n">
        <v>0.7017</v>
      </c>
      <c r="I12" s="37" t="n">
        <v>0.5715</v>
      </c>
      <c r="J12" s="37" t="n">
        <v>0.876</v>
      </c>
      <c r="K12" s="37" t="n">
        <v>0.7</v>
      </c>
      <c r="L12" s="37" t="n">
        <v>0.6715</v>
      </c>
      <c r="M12" s="37" t="n">
        <v>0.95</v>
      </c>
      <c r="N12" s="35" t="n">
        <v>44.33</v>
      </c>
      <c r="O12" s="35" t="n">
        <v>9</v>
      </c>
      <c r="P12" s="35" t="n">
        <v>-1</v>
      </c>
    </row>
    <row r="13">
      <c r="A13" s="35" t="n">
        <v>11</v>
      </c>
      <c r="B13" s="29" t="inlineStr">
        <is>
          <t>Ole Miss</t>
        </is>
      </c>
      <c r="C13" s="29" t="inlineStr">
        <is>
          <t>MISS</t>
        </is>
      </c>
      <c r="D13" s="29" t="inlineStr">
        <is>
          <t>SEC</t>
        </is>
      </c>
      <c r="E13" s="37" t="n">
        <v>0.717359</v>
      </c>
      <c r="F13" s="37" t="n">
        <v>0.727696</v>
      </c>
      <c r="G13" s="37" t="n">
        <v>0.8545</v>
      </c>
      <c r="H13" s="37" t="n">
        <v>0.6757</v>
      </c>
      <c r="I13" s="37" t="n">
        <v>0.6155</v>
      </c>
      <c r="J13" s="37" t="n">
        <v>0.776</v>
      </c>
      <c r="K13" s="37" t="n">
        <v>0.35</v>
      </c>
      <c r="L13" s="37" t="n">
        <v>0.6114000000000001</v>
      </c>
      <c r="M13" s="37" t="n">
        <v>0.95</v>
      </c>
      <c r="N13" s="35" t="n">
        <v>61.02</v>
      </c>
      <c r="O13" s="35" t="n">
        <v>11</v>
      </c>
      <c r="P13" s="35" t="n">
        <v>0</v>
      </c>
    </row>
    <row r="14">
      <c r="A14" s="35" t="n">
        <v>12</v>
      </c>
      <c r="B14" s="29" t="inlineStr">
        <is>
          <t>Oklahoma</t>
        </is>
      </c>
      <c r="C14" s="29" t="inlineStr">
        <is>
          <t>OU</t>
        </is>
      </c>
      <c r="D14" s="29" t="inlineStr">
        <is>
          <t>SEC</t>
        </is>
      </c>
      <c r="E14" s="37" t="n">
        <v>0.711369</v>
      </c>
      <c r="F14" s="37" t="n">
        <v>0.720741</v>
      </c>
      <c r="G14" s="37" t="n">
        <v>0.7077</v>
      </c>
      <c r="H14" s="37" t="n">
        <v>0.7065</v>
      </c>
      <c r="I14" s="37" t="n">
        <v>0.5634</v>
      </c>
      <c r="J14" s="37" t="n">
        <v>0.828</v>
      </c>
      <c r="K14" s="37" t="n">
        <v>1</v>
      </c>
      <c r="L14" s="37" t="n">
        <v>0.6153</v>
      </c>
      <c r="M14" s="37" t="n">
        <v>0.95</v>
      </c>
      <c r="N14" s="35" t="n">
        <v>41.54</v>
      </c>
      <c r="O14" s="35" t="n">
        <v>12</v>
      </c>
      <c r="P14" s="35" t="n">
        <v>0</v>
      </c>
    </row>
    <row r="15">
      <c r="A15" s="35" t="n">
        <v>13</v>
      </c>
      <c r="B15" s="29" t="inlineStr">
        <is>
          <t>USC</t>
        </is>
      </c>
      <c r="C15" s="29" t="inlineStr">
        <is>
          <t>USC</t>
        </is>
      </c>
      <c r="D15" s="29" t="inlineStr">
        <is>
          <t>Big Ten</t>
        </is>
      </c>
      <c r="E15" s="37" t="n">
        <v>0.708553</v>
      </c>
      <c r="F15" s="37" t="n">
        <v>0.710997</v>
      </c>
      <c r="G15" s="37" t="n">
        <v>0.7311</v>
      </c>
      <c r="H15" s="37" t="n">
        <v>0.7049</v>
      </c>
      <c r="I15" s="37" t="n">
        <v>0.5334</v>
      </c>
      <c r="J15" s="37" t="n">
        <v>0.805</v>
      </c>
      <c r="K15" s="37" t="n">
        <v>0.85</v>
      </c>
      <c r="L15" s="37" t="n">
        <v>0.6835</v>
      </c>
      <c r="M15" s="37" t="n">
        <v>0.925</v>
      </c>
      <c r="N15" s="35" t="n">
        <v>32.02</v>
      </c>
      <c r="O15" s="35" t="n">
        <v>13</v>
      </c>
      <c r="P15" s="35" t="n">
        <v>0</v>
      </c>
    </row>
    <row r="16">
      <c r="A16" s="35" t="n">
        <v>14</v>
      </c>
      <c r="B16" s="29" t="inlineStr">
        <is>
          <t>BYU</t>
        </is>
      </c>
      <c r="C16" s="29" t="inlineStr">
        <is>
          <t>BYU</t>
        </is>
      </c>
      <c r="D16" s="29" t="inlineStr">
        <is>
          <t>Big 12</t>
        </is>
      </c>
      <c r="E16" s="37" t="n">
        <v>0.706947</v>
      </c>
      <c r="F16" s="37" t="n">
        <v>0.7057020000000001</v>
      </c>
      <c r="G16" s="37" t="n">
        <v>0.797</v>
      </c>
      <c r="H16" s="37" t="n">
        <v>0.7086</v>
      </c>
      <c r="I16" s="37" t="n">
        <v>0.51</v>
      </c>
      <c r="J16" s="37" t="n">
        <v>0.52</v>
      </c>
      <c r="K16" s="37" t="n">
        <v>0.85</v>
      </c>
      <c r="L16" s="37" t="n">
        <v>0.7197</v>
      </c>
      <c r="M16" s="37" t="n">
        <v>0.825</v>
      </c>
      <c r="N16" s="35" t="n">
        <v>25.48</v>
      </c>
      <c r="O16" s="35" t="n">
        <v>14</v>
      </c>
      <c r="P16" s="35" t="n">
        <v>0</v>
      </c>
    </row>
    <row r="17">
      <c r="A17" s="35" t="n">
        <v>15</v>
      </c>
      <c r="B17" s="29" t="inlineStr">
        <is>
          <t>Virginia</t>
        </is>
      </c>
      <c r="C17" s="29" t="inlineStr">
        <is>
          <t>UVA</t>
        </is>
      </c>
      <c r="D17" s="29" t="inlineStr">
        <is>
          <t>ACC</t>
        </is>
      </c>
      <c r="E17" s="37" t="n">
        <v>0.698316</v>
      </c>
      <c r="F17" s="37" t="n">
        <v>0.712825</v>
      </c>
      <c r="G17" s="37" t="n">
        <v>0.8661</v>
      </c>
      <c r="H17" s="37" t="n">
        <v>0.5229</v>
      </c>
      <c r="I17" s="37" t="n">
        <v>0.5155999999999999</v>
      </c>
      <c r="J17" s="37" t="n">
        <v>0.5600000000000001</v>
      </c>
      <c r="K17" s="37" t="n">
        <v>1</v>
      </c>
      <c r="L17" s="37" t="n">
        <v>0.5496</v>
      </c>
      <c r="M17" s="37" t="n">
        <v>0.8</v>
      </c>
      <c r="N17" s="35" t="n">
        <v>26.98</v>
      </c>
      <c r="O17" s="35" t="n">
        <v>15</v>
      </c>
      <c r="P17" s="35" t="n">
        <v>0</v>
      </c>
    </row>
    <row r="18">
      <c r="A18" s="35" t="n">
        <v>16</v>
      </c>
      <c r="B18" s="29" t="inlineStr">
        <is>
          <t>Iowa</t>
        </is>
      </c>
      <c r="C18" s="29" t="inlineStr">
        <is>
          <t>IOWA</t>
        </is>
      </c>
      <c r="D18" s="29" t="inlineStr">
        <is>
          <t>Big Ten</t>
        </is>
      </c>
      <c r="E18" s="37" t="n">
        <v>0.684258</v>
      </c>
      <c r="F18" s="37" t="n">
        <v>0.691483</v>
      </c>
      <c r="G18" s="37" t="n">
        <v>0.8747</v>
      </c>
      <c r="H18" s="37" t="n">
        <v>0.4077</v>
      </c>
      <c r="I18" s="37" t="n">
        <v>0.4507</v>
      </c>
      <c r="J18" s="37" t="n">
        <v>0.656</v>
      </c>
      <c r="K18" s="37" t="n">
        <v>1</v>
      </c>
      <c r="L18" s="37" t="n">
        <v>0.6102</v>
      </c>
      <c r="M18" s="37" t="n">
        <v>0.925</v>
      </c>
      <c r="N18" s="35" t="n">
        <v>12.2</v>
      </c>
      <c r="O18" s="35" t="n">
        <v>17</v>
      </c>
      <c r="P18" s="35" t="n">
        <v>1</v>
      </c>
    </row>
    <row r="19">
      <c r="A19" s="35" t="n">
        <v>17</v>
      </c>
      <c r="B19" s="29" t="inlineStr">
        <is>
          <t>Michigan</t>
        </is>
      </c>
      <c r="C19" s="29" t="inlineStr">
        <is>
          <t>MICH</t>
        </is>
      </c>
      <c r="D19" s="29" t="inlineStr">
        <is>
          <t>Big Ten</t>
        </is>
      </c>
      <c r="E19" s="37" t="n">
        <v>0.672063</v>
      </c>
      <c r="F19" s="37" t="n">
        <v>0.669347</v>
      </c>
      <c r="G19" s="37" t="n">
        <v>0.7302999999999999</v>
      </c>
      <c r="H19" s="37" t="n">
        <v>0.6768999999999999</v>
      </c>
      <c r="I19" s="37" t="n">
        <v>0.5471</v>
      </c>
      <c r="J19" s="37" t="n">
        <v>0.852</v>
      </c>
      <c r="K19" s="37" t="n">
        <v>0.325</v>
      </c>
      <c r="L19" s="37" t="n">
        <v>0.6999</v>
      </c>
      <c r="M19" s="37" t="n">
        <v>0.925</v>
      </c>
      <c r="N19" s="35" t="n">
        <v>36.24</v>
      </c>
      <c r="O19" s="35" t="n">
        <v>16</v>
      </c>
      <c r="P19" s="35" t="n">
        <v>-1</v>
      </c>
    </row>
    <row r="20">
      <c r="A20" s="35" t="n">
        <v>18</v>
      </c>
      <c r="B20" s="29" t="inlineStr">
        <is>
          <t>Vanderbilt</t>
        </is>
      </c>
      <c r="C20" s="29" t="inlineStr">
        <is>
          <t>VAN</t>
        </is>
      </c>
      <c r="D20" s="29" t="inlineStr">
        <is>
          <t>SEC</t>
        </is>
      </c>
      <c r="E20" s="37" t="n">
        <v>0.662682</v>
      </c>
      <c r="F20" s="37" t="n">
        <v>0.679402</v>
      </c>
      <c r="G20" s="37" t="n">
        <v>0.8325</v>
      </c>
      <c r="H20" s="37" t="n">
        <v>0.4167</v>
      </c>
      <c r="I20" s="37" t="n">
        <v>0.5174</v>
      </c>
      <c r="J20" s="37" t="n">
        <v>0.595</v>
      </c>
      <c r="K20" s="37" t="n">
        <v>1</v>
      </c>
      <c r="L20" s="37" t="n">
        <v>0.4913</v>
      </c>
      <c r="M20" s="37" t="n">
        <v>0.95</v>
      </c>
      <c r="N20" s="35" t="n">
        <v>27.46</v>
      </c>
      <c r="O20" s="35" t="n">
        <v>18</v>
      </c>
      <c r="P20" s="35" t="n">
        <v>0</v>
      </c>
    </row>
    <row r="21">
      <c r="A21" s="35" t="n">
        <v>19</v>
      </c>
      <c r="B21" s="29" t="inlineStr">
        <is>
          <t>Washington</t>
        </is>
      </c>
      <c r="C21" s="29" t="inlineStr">
        <is>
          <t>WASH</t>
        </is>
      </c>
      <c r="D21" s="29" t="inlineStr">
        <is>
          <t>Big Ten</t>
        </is>
      </c>
      <c r="E21" s="37" t="n">
        <v>0.656521</v>
      </c>
      <c r="F21" s="37" t="n">
        <v>0.662142</v>
      </c>
      <c r="G21" s="37" t="n">
        <v>0.6526</v>
      </c>
      <c r="H21" s="37" t="n">
        <v>0.6938</v>
      </c>
      <c r="I21" s="37" t="n">
        <v>0.4659</v>
      </c>
      <c r="J21" s="37" t="n">
        <v>0.678</v>
      </c>
      <c r="K21" s="37" t="n">
        <v>1</v>
      </c>
      <c r="L21" s="37" t="n">
        <v>0.5989</v>
      </c>
      <c r="M21" s="37" t="n">
        <v>0.925</v>
      </c>
      <c r="N21" s="35" t="n">
        <v>15.14</v>
      </c>
      <c r="O21" s="35" t="n">
        <v>19</v>
      </c>
      <c r="P21" s="35" t="n">
        <v>0</v>
      </c>
    </row>
    <row r="22">
      <c r="A22" s="35" t="n">
        <v>20</v>
      </c>
      <c r="B22" s="29" t="inlineStr">
        <is>
          <t>Tennessee</t>
        </is>
      </c>
      <c r="C22" s="29" t="inlineStr">
        <is>
          <t>TENN</t>
        </is>
      </c>
      <c r="D22" s="29" t="inlineStr">
        <is>
          <t>SEC</t>
        </is>
      </c>
      <c r="E22" s="37" t="n">
        <v>0.640714</v>
      </c>
      <c r="F22" s="37" t="n">
        <v>0.646988</v>
      </c>
      <c r="G22" s="37" t="n">
        <v>0.6631</v>
      </c>
      <c r="H22" s="37" t="n">
        <v>0.5348000000000001</v>
      </c>
      <c r="I22" s="37" t="n">
        <v>0.5414</v>
      </c>
      <c r="J22" s="37" t="n">
        <v>0.8129999999999999</v>
      </c>
      <c r="K22" s="37" t="n">
        <v>0.85</v>
      </c>
      <c r="L22" s="37" t="n">
        <v>0.5764</v>
      </c>
      <c r="M22" s="37" t="n">
        <v>0.95</v>
      </c>
      <c r="N22" s="35" t="n">
        <v>34.46</v>
      </c>
      <c r="O22" s="35" t="n">
        <v>20</v>
      </c>
      <c r="P22" s="35" t="n">
        <v>0</v>
      </c>
    </row>
    <row r="23">
      <c r="A23" s="35" t="n">
        <v>21</v>
      </c>
      <c r="B23" s="29" t="inlineStr">
        <is>
          <t>Illinois</t>
        </is>
      </c>
      <c r="C23" s="29" t="inlineStr">
        <is>
          <t>ILL</t>
        </is>
      </c>
      <c r="D23" s="29" t="inlineStr">
        <is>
          <t>Big Ten</t>
        </is>
      </c>
      <c r="E23" s="37" t="n">
        <v>0.630989</v>
      </c>
      <c r="F23" s="37" t="n">
        <v>0.6332410000000001</v>
      </c>
      <c r="G23" s="37" t="n">
        <v>0.7533</v>
      </c>
      <c r="H23" s="37" t="n">
        <v>0.4544</v>
      </c>
      <c r="I23" s="37" t="n">
        <v>0.4987</v>
      </c>
      <c r="J23" s="37" t="n">
        <v>0.55</v>
      </c>
      <c r="K23" s="37" t="n">
        <v>0.85</v>
      </c>
      <c r="L23" s="37" t="n">
        <v>0.6079</v>
      </c>
      <c r="M23" s="37" t="n">
        <v>0.925</v>
      </c>
      <c r="N23" s="35" t="n">
        <v>22.56</v>
      </c>
      <c r="O23" s="35" t="n">
        <v>22</v>
      </c>
      <c r="P23" s="35" t="n">
        <v>1</v>
      </c>
    </row>
    <row r="24">
      <c r="A24" s="35" t="n">
        <v>22</v>
      </c>
      <c r="B24" s="29" t="inlineStr">
        <is>
          <t>Utah</t>
        </is>
      </c>
      <c r="C24" s="29" t="inlineStr">
        <is>
          <t>UTAH</t>
        </is>
      </c>
      <c r="D24" s="29" t="inlineStr">
        <is>
          <t>Big 12</t>
        </is>
      </c>
      <c r="E24" s="37" t="n">
        <v>0.629259</v>
      </c>
      <c r="F24" s="37" t="n">
        <v>0.62625</v>
      </c>
      <c r="G24" s="37" t="n">
        <v>0.7324000000000001</v>
      </c>
      <c r="H24" s="37" t="n">
        <v>0.6123</v>
      </c>
      <c r="I24" s="37" t="n">
        <v>0.4986</v>
      </c>
      <c r="J24" s="37" t="n">
        <v>0.647</v>
      </c>
      <c r="K24" s="37" t="n">
        <v>0.325</v>
      </c>
      <c r="L24" s="37" t="n">
        <v>0.6601</v>
      </c>
      <c r="M24" s="37" t="n">
        <v>0.825</v>
      </c>
      <c r="N24" s="35" t="n">
        <v>22.54</v>
      </c>
      <c r="O24" s="35" t="n">
        <v>21</v>
      </c>
      <c r="P24" s="35" t="n">
        <v>-1</v>
      </c>
    </row>
    <row r="25">
      <c r="A25" s="35" t="n">
        <v>23</v>
      </c>
      <c r="B25" s="29" t="inlineStr">
        <is>
          <t>SMU</t>
        </is>
      </c>
      <c r="C25" s="29" t="inlineStr">
        <is>
          <t>SMU</t>
        </is>
      </c>
      <c r="D25" s="29" t="inlineStr">
        <is>
          <t>ACC</t>
        </is>
      </c>
      <c r="E25" s="37" t="n">
        <v>0.626309</v>
      </c>
      <c r="F25" s="37" t="n">
        <v>0.622525</v>
      </c>
      <c r="G25" s="37" t="n">
        <v>0.5333</v>
      </c>
      <c r="H25" s="37" t="n">
        <v>0.6728</v>
      </c>
      <c r="I25" s="37" t="n">
        <v>0.5217000000000001</v>
      </c>
      <c r="J25" s="37" t="n">
        <v>0.747</v>
      </c>
      <c r="K25" s="37" t="n">
        <v>1</v>
      </c>
      <c r="L25" s="37" t="n">
        <v>0.6651</v>
      </c>
      <c r="M25" s="37" t="n">
        <v>0.8</v>
      </c>
      <c r="N25" s="35" t="n">
        <v>28.66</v>
      </c>
      <c r="O25" s="35" t="n">
        <v>23</v>
      </c>
      <c r="P25" s="35" t="n">
        <v>0</v>
      </c>
    </row>
    <row r="26">
      <c r="A26" s="35" t="n">
        <v>24</v>
      </c>
      <c r="B26" s="29" t="inlineStr">
        <is>
          <t>Houston</t>
        </is>
      </c>
      <c r="C26" s="29" t="inlineStr">
        <is>
          <t>HOU</t>
        </is>
      </c>
      <c r="D26" s="29" t="inlineStr">
        <is>
          <t>Big 12</t>
        </is>
      </c>
      <c r="E26" s="37" t="n">
        <v>0.623098</v>
      </c>
      <c r="F26" s="37" t="n">
        <v>0.629118</v>
      </c>
      <c r="G26" s="37" t="n">
        <v>0.5952</v>
      </c>
      <c r="H26" s="37" t="n">
        <v>0.7099</v>
      </c>
      <c r="I26" s="37" t="n">
        <v>0.4858</v>
      </c>
      <c r="J26" s="37" t="n">
        <v>0.54</v>
      </c>
      <c r="K26" s="37" t="n">
        <v>1</v>
      </c>
      <c r="L26" s="37" t="n">
        <v>0.5614</v>
      </c>
      <c r="M26" s="37" t="n">
        <v>0.825</v>
      </c>
      <c r="N26" s="35" t="n">
        <v>19.48</v>
      </c>
      <c r="O26" s="35" t="n">
        <v>24</v>
      </c>
      <c r="P26" s="35" t="n">
        <v>0</v>
      </c>
    </row>
    <row r="27">
      <c r="A27" s="35" t="n">
        <v>25</v>
      </c>
      <c r="B27" s="29" t="inlineStr">
        <is>
          <t>Arizona</t>
        </is>
      </c>
      <c r="C27" s="29" t="inlineStr">
        <is>
          <t>ARIZ</t>
        </is>
      </c>
      <c r="D27" s="29" t="inlineStr">
        <is>
          <t>Big 12</t>
        </is>
      </c>
      <c r="E27" s="37" t="n">
        <v>0.604285</v>
      </c>
      <c r="F27" s="37" t="n">
        <v>0.60363</v>
      </c>
      <c r="G27" s="37" t="n">
        <v>0.5606</v>
      </c>
      <c r="H27" s="37" t="n">
        <v>0.6632</v>
      </c>
      <c r="I27" s="37" t="n">
        <v>0.4865</v>
      </c>
      <c r="J27" s="37" t="n">
        <v>0.535</v>
      </c>
      <c r="K27" s="37" t="n">
        <v>1</v>
      </c>
      <c r="L27" s="37" t="n">
        <v>0.611</v>
      </c>
      <c r="M27" s="37" t="n">
        <v>0.825</v>
      </c>
      <c r="N27" s="35" t="n">
        <v>19.64</v>
      </c>
      <c r="O27" s="35" t="n">
        <v>25</v>
      </c>
      <c r="P27" s="35" t="n">
        <v>0</v>
      </c>
    </row>
  </sheetData>
  <autoFilter ref="A2:P27"/>
  <mergeCells count="1">
    <mergeCell ref="A1:P1"/>
  </mergeCells>
  <printOptions horizontalCentered="0"/>
  <pageMargins left="0.25" right="0.25" top="0.5" bottom="0.5" header="0.5" footer="0.5"/>
  <pageSetup orientation="landscape" fitToHeight="0" fitToWidth="1"/>
</worksheet>
</file>

<file path=xl/worksheets/sheet10.xml><?xml version="1.0" encoding="utf-8"?>
<worksheet xmlns="http://schemas.openxmlformats.org/spreadsheetml/2006/main">
  <sheetPr>
    <tabColor rgb="004472C4"/>
    <outlinePr summaryBelow="1" summaryRight="1"/>
    <pageSetUpPr fitToPage="1"/>
  </sheetPr>
  <dimension ref="A1:G10"/>
  <sheetViews>
    <sheetView showGridLines="0" workbookViewId="0">
      <pane ySplit="2" topLeftCell="A3" activePane="bottomLeft" state="frozen"/>
      <selection pane="bottomLeft" activeCell="A1" sqref="A1"/>
    </sheetView>
  </sheetViews>
  <sheetFormatPr baseColWidth="8" defaultRowHeight="15"/>
  <cols>
    <col width="52" customWidth="1" style="26" min="1" max="1"/>
    <col width="12" customWidth="1" style="26" min="2" max="2"/>
    <col width="12" customWidth="1" style="26" min="3" max="3"/>
    <col width="37" customWidth="1" style="26" min="4" max="4"/>
    <col width="33" customWidth="1" style="26" min="5" max="5"/>
    <col width="30" customWidth="1" style="26" min="6" max="6"/>
    <col width="52" customWidth="1" style="26" min="7" max="7"/>
  </cols>
  <sheetData>
    <row r="1" ht="26" customHeight="1" s="26">
      <c r="A1" s="27" t="inlineStr">
        <is>
          <t>ENRICHED 2026 TEAM MASTER — COMPLETENESS AND GOVERNANCE</t>
        </is>
      </c>
    </row>
    <row r="2">
      <c r="A2" s="28" t="inlineStr">
        <is>
          <t>metric</t>
        </is>
      </c>
      <c r="B2" s="28" t="inlineStr">
        <is>
          <t>value</t>
        </is>
      </c>
      <c r="C2" s="28" t="inlineStr">
        <is>
          <t>status</t>
        </is>
      </c>
      <c r="D2" s="28" t="inlineStr">
        <is>
          <t>source</t>
        </is>
      </c>
      <c r="E2" s="28" t="inlineStr">
        <is>
          <t>source_location</t>
        </is>
      </c>
      <c r="F2" s="28" t="inlineStr">
        <is>
          <t>impact</t>
        </is>
      </c>
      <c r="G2" s="28" t="inlineStr">
        <is>
          <t>notes</t>
        </is>
      </c>
    </row>
    <row r="3">
      <c r="A3" s="29" t="inlineStr">
        <is>
          <t>Team count</t>
        </is>
      </c>
      <c r="B3" s="35" t="n">
        <v>121</v>
      </c>
      <c r="C3" s="32" t="inlineStr">
        <is>
          <t>VALIDATED</t>
        </is>
      </c>
      <c r="D3" s="29" t="inlineStr">
        <is>
          <t>Pre-season2026 FBS Team Master.xlsx</t>
        </is>
      </c>
      <c r="E3" s="29" t="inlineStr">
        <is>
          <t>2026 FBS Teams</t>
        </is>
      </c>
      <c r="F3" s="29" t="inlineStr">
        <is>
          <t>Universe identity</t>
        </is>
      </c>
      <c r="G3" s="29" t="inlineStr">
        <is>
          <t>121 expected</t>
        </is>
      </c>
    </row>
    <row r="4">
      <c r="A4" s="29" t="inlineStr">
        <is>
          <t>Columns</t>
        </is>
      </c>
      <c r="B4" s="35" t="n">
        <v>35</v>
      </c>
      <c r="C4" s="32" t="inlineStr">
        <is>
          <t>VALIDATED</t>
        </is>
      </c>
      <c r="D4" s="29" t="inlineStr">
        <is>
          <t>Pre-season2026 FBS Team Master.xlsx</t>
        </is>
      </c>
      <c r="E4" s="29" t="inlineStr">
        <is>
          <t>2026 FBS Teams</t>
        </is>
      </c>
      <c r="F4" s="29" t="inlineStr">
        <is>
          <t>Schema</t>
        </is>
      </c>
      <c r="G4" s="29" t="inlineStr">
        <is>
          <t>35 columns</t>
        </is>
      </c>
    </row>
    <row r="5">
      <c r="A5" s="29" t="inlineStr">
        <is>
          <t>Head coaches populated</t>
        </is>
      </c>
      <c r="B5" s="35" t="n">
        <v>121</v>
      </c>
      <c r="C5" s="32" t="inlineStr">
        <is>
          <t>VALIDATED</t>
        </is>
      </c>
      <c r="D5" s="29" t="inlineStr">
        <is>
          <t>Pre-season2026 FBS Team Master.xlsx</t>
        </is>
      </c>
      <c r="E5" s="29" t="inlineStr">
        <is>
          <t>head_coach_2026</t>
        </is>
      </c>
      <c r="F5" s="29" t="inlineStr">
        <is>
          <t>Board coaching component</t>
        </is>
      </c>
      <c r="G5" s="29" t="inlineStr"/>
    </row>
    <row r="6">
      <c r="A6" s="29" t="inlineStr">
        <is>
          <t>Market win totals populated</t>
        </is>
      </c>
      <c r="B6" s="35" t="n">
        <v>112</v>
      </c>
      <c r="C6" s="32" t="inlineStr">
        <is>
          <t>VALIDATED</t>
        </is>
      </c>
      <c r="D6" s="29" t="inlineStr">
        <is>
          <t>Pre-season2026 FBS Team Master.xlsx</t>
        </is>
      </c>
      <c r="E6" s="29" t="inlineStr">
        <is>
          <t>preseason_market_win_total_2026</t>
        </is>
      </c>
      <c r="F6" s="29" t="inlineStr">
        <is>
          <t>Board market component</t>
        </is>
      </c>
      <c r="G6" s="29" t="inlineStr">
        <is>
          <t>Missing values governed by conference-mean/drop policy</t>
        </is>
      </c>
    </row>
    <row r="7">
      <c r="A7" s="29" t="inlineStr">
        <is>
          <t>Talent ratings populated</t>
        </is>
      </c>
      <c r="B7" s="35" t="n">
        <v>100</v>
      </c>
      <c r="C7" s="32" t="inlineStr">
        <is>
          <t>VALIDATED</t>
        </is>
      </c>
      <c r="D7" s="29" t="inlineStr">
        <is>
          <t>Pre-season2026 FBS Team Master.xlsx</t>
        </is>
      </c>
      <c r="E7" s="29" t="inlineStr">
        <is>
          <t>recruiting_talent_rating_2026</t>
        </is>
      </c>
      <c r="F7" s="29" t="inlineStr">
        <is>
          <t>Board talent component</t>
        </is>
      </c>
      <c r="G7" s="29" t="inlineStr">
        <is>
          <t>2025 source year</t>
        </is>
      </c>
    </row>
    <row r="8">
      <c r="A8" s="29" t="inlineStr">
        <is>
          <t>Portal ratings populated</t>
        </is>
      </c>
      <c r="B8" s="35" t="n">
        <v>113</v>
      </c>
      <c r="C8" s="32" t="inlineStr">
        <is>
          <t>VALIDATED</t>
        </is>
      </c>
      <c r="D8" s="29" t="inlineStr">
        <is>
          <t>Pre-season2026 FBS Team Master.xlsx</t>
        </is>
      </c>
      <c r="E8" s="29" t="inlineStr">
        <is>
          <t>portal_net_rating_2026</t>
        </is>
      </c>
      <c r="F8" s="29" t="inlineStr">
        <is>
          <t>Movement component</t>
        </is>
      </c>
      <c r="G8" s="29" t="inlineStr">
        <is>
          <t>52 G5 values may be proxy-derived</t>
        </is>
      </c>
    </row>
    <row r="9">
      <c r="A9" s="29" t="inlineStr">
        <is>
          <t>Manual review required</t>
        </is>
      </c>
      <c r="B9" s="35" t="n">
        <v>40</v>
      </c>
      <c r="C9" s="31" t="inlineStr">
        <is>
          <t>OPEN</t>
        </is>
      </c>
      <c r="D9" s="29" t="inlineStr">
        <is>
          <t>Pre-season2026 FBS Team Master.xlsx</t>
        </is>
      </c>
      <c r="E9" s="29" t="inlineStr">
        <is>
          <t>manual_review_required</t>
        </is>
      </c>
      <c r="F9" s="29" t="inlineStr">
        <is>
          <t>Data QA</t>
        </is>
      </c>
      <c r="G9" s="29" t="inlineStr">
        <is>
          <t>Review before publication</t>
        </is>
      </c>
    </row>
    <row r="10">
      <c r="A10" s="29" t="inlineStr">
        <is>
          <t>Sparse master status</t>
        </is>
      </c>
      <c r="B10" s="29" t="inlineStr">
        <is>
          <t>DO NOT USE</t>
        </is>
      </c>
      <c r="C10" s="36" t="inlineStr">
        <is>
          <t>DO-NOT-USE</t>
        </is>
      </c>
      <c r="D10" s="29" t="inlineStr">
        <is>
          <t>2026 Board I CANONICAL.xlsx</t>
        </is>
      </c>
      <c r="E10" s="29" t="inlineStr">
        <is>
          <t>Pinned inputs</t>
        </is>
      </c>
      <c r="F10" s="29" t="inlineStr">
        <is>
          <t>Prevents wrong input lineage</t>
        </is>
      </c>
      <c r="G10" s="29" t="inlineStr">
        <is>
          <t>Use enriched master instead</t>
        </is>
      </c>
    </row>
  </sheetData>
  <autoFilter ref="A2:G10"/>
  <mergeCells count="1">
    <mergeCell ref="A1:G1"/>
  </mergeCells>
  <printOptions horizontalCentered="0"/>
  <pageMargins left="0.25" right="0.25" top="0.5" bottom="0.5" header="0.5" footer="0.5"/>
  <pageSetup orientation="landscape" fitToHeight="0" fitToWidth="1"/>
</worksheet>
</file>

<file path=xl/worksheets/sheet11.xml><?xml version="1.0" encoding="utf-8"?>
<worksheet xmlns="http://schemas.openxmlformats.org/spreadsheetml/2006/main">
  <sheetPr>
    <tabColor rgb="004472C4"/>
    <outlinePr summaryBelow="1" summaryRight="1"/>
    <pageSetUpPr fitToPage="1"/>
  </sheetPr>
  <dimension ref="A1:N28"/>
  <sheetViews>
    <sheetView showGridLines="0" workbookViewId="0">
      <pane ySplit="2" topLeftCell="A3" activePane="bottomLeft" state="frozen"/>
      <selection pane="bottomLeft" activeCell="A1" sqref="A1"/>
    </sheetView>
  </sheetViews>
  <sheetFormatPr baseColWidth="8" defaultRowHeight="15"/>
  <cols>
    <col width="46" customWidth="1" style="26" min="1" max="1"/>
    <col width="20" customWidth="1" style="26" min="2" max="2"/>
    <col width="15" customWidth="1" style="26" min="3" max="3"/>
    <col width="12" customWidth="1" style="26" min="4" max="4"/>
    <col width="16" customWidth="1" style="26" min="5" max="5"/>
    <col width="15" customWidth="1" style="26" min="6" max="6"/>
    <col width="35" customWidth="1" style="26" min="7" max="7"/>
    <col width="52" customWidth="1" style="26" min="8" max="8"/>
    <col width="52" customWidth="1" style="26" min="9" max="9"/>
    <col width="50" customWidth="1" style="26" min="10" max="10"/>
    <col width="27" customWidth="1" style="26" min="11" max="11"/>
  </cols>
  <sheetData>
    <row r="1" ht="26" customHeight="1" s="26">
      <c r="A1" s="27" t="inlineStr">
        <is>
          <t>ARTIFACT LINEAGE AND SUPERSESSION</t>
        </is>
      </c>
    </row>
    <row r="2">
      <c r="A2" s="28" t="inlineStr">
        <is>
          <t>artifact_name</t>
        </is>
      </c>
      <c r="B2" s="28" t="inlineStr">
        <is>
          <t>domain</t>
        </is>
      </c>
      <c r="C2" s="28" t="inlineStr">
        <is>
          <t>version</t>
        </is>
      </c>
      <c r="D2" s="28" t="inlineStr">
        <is>
          <t>status</t>
        </is>
      </c>
      <c r="E2" s="28" t="inlineStr">
        <is>
          <t>effective_date</t>
        </is>
      </c>
      <c r="F2" s="28" t="inlineStr">
        <is>
          <t>supersedes</t>
        </is>
      </c>
      <c r="G2" s="28" t="inlineStr">
        <is>
          <t>superseded_by</t>
        </is>
      </c>
      <c r="H2" s="28" t="inlineStr">
        <is>
          <t>sha256</t>
        </is>
      </c>
      <c r="I2" s="28" t="inlineStr">
        <is>
          <t>source_url</t>
        </is>
      </c>
      <c r="J2" s="28" t="inlineStr">
        <is>
          <t>known_defects</t>
        </is>
      </c>
      <c r="K2" s="28" t="inlineStr">
        <is>
          <t>notes</t>
        </is>
      </c>
    </row>
    <row r="3" s="26">
      <c r="A3" s="29" t="inlineStr">
        <is>
          <t>Model Parameters.xlsx</t>
        </is>
      </c>
      <c r="B3" s="29" t="inlineStr">
        <is>
          <t>Master</t>
        </is>
      </c>
      <c r="C3" s="29" t="inlineStr">
        <is>
          <t>v1.0</t>
        </is>
      </c>
      <c r="D3" s="33" t="inlineStr">
        <is>
          <t>HISTORICAL</t>
        </is>
      </c>
      <c r="E3" s="29" t="inlineStr">
        <is>
          <t>2026-07-22</t>
        </is>
      </c>
      <c r="F3" s="29" t="inlineStr"/>
      <c r="G3" s="29" t="inlineStr">
        <is>
          <t>Model_Parameters_v2_APPROVED.xlsx</t>
        </is>
      </c>
      <c r="H3" s="29" t="inlineStr">
        <is>
          <t>5c8ddd42fe98df9b9f7d74a6dbf7f50568afec4a51a6e0083b2853b7072b8cea</t>
        </is>
      </c>
      <c r="I3" s="29" t="inlineStr">
        <is>
          <t>local upload</t>
        </is>
      </c>
      <c r="J3" s="29" t="inlineStr">
        <is>
          <t>Narrow legacy engine scope</t>
        </is>
      </c>
      <c r="K3" s="29" t="inlineStr">
        <is>
          <t>Preserved unchanged</t>
        </is>
      </c>
      <c r="L3" s="29" t="n"/>
      <c r="M3" s="29" t="n"/>
      <c r="N3" s="29" t="n"/>
    </row>
    <row r="4">
      <c r="A4" s="29" t="inlineStr">
        <is>
          <t>2026_FBS_Schedule_LOCKED_v3_2.xlsx</t>
        </is>
      </c>
      <c r="B4" s="29" t="inlineStr">
        <is>
          <t>Schedule</t>
        </is>
      </c>
      <c r="C4" s="29" t="inlineStr">
        <is>
          <t>v3.2</t>
        </is>
      </c>
      <c r="D4" s="33" t="inlineStr">
        <is>
          <t>SUPERSEDED</t>
        </is>
      </c>
      <c r="E4" s="29" t="inlineStr">
        <is>
          <t>2026-07-15</t>
        </is>
      </c>
      <c r="F4" s="29" t="inlineStr">
        <is>
          <t>v3</t>
        </is>
      </c>
      <c r="G4" s="29" t="inlineStr">
        <is>
          <t>v4</t>
        </is>
      </c>
      <c r="H4" s="29" t="inlineStr">
        <is>
          <t>7e7b583e33e27c828432236e43a407abf24fc64b1596c8fa16c12d36224c9608</t>
        </is>
      </c>
      <c r="I4" s="29" t="inlineStr">
        <is>
          <t>Drive prior upload</t>
        </is>
      </c>
      <c r="J4" s="29" t="inlineStr">
        <is>
          <t>No CCG rows</t>
        </is>
      </c>
      <c r="K4" s="29" t="inlineStr">
        <is>
          <t>TV source schedule</t>
        </is>
      </c>
      <c r="L4" s="29" t="n"/>
      <c r="M4" s="29" t="n"/>
      <c r="N4" s="29" t="n"/>
    </row>
    <row r="5">
      <c r="A5" s="29" t="inlineStr">
        <is>
          <t>2026_FBS_Schedule_LOCKED_v4.xlsx</t>
        </is>
      </c>
      <c r="B5" s="29" t="inlineStr">
        <is>
          <t>Schedule</t>
        </is>
      </c>
      <c r="C5" s="29" t="inlineStr">
        <is>
          <t>v4</t>
        </is>
      </c>
      <c r="D5" s="32" t="inlineStr">
        <is>
          <t>CANONICAL</t>
        </is>
      </c>
      <c r="E5" s="29" t="inlineStr">
        <is>
          <t>2026-07-14</t>
        </is>
      </c>
      <c r="F5" s="29" t="inlineStr">
        <is>
          <t>v3/v3.2</t>
        </is>
      </c>
      <c r="G5" s="29" t="inlineStr"/>
      <c r="H5" s="29" t="inlineStr">
        <is>
          <t>8d4d5112aa52cfb51895c95d104e3c5e1821813e3b481a4f1b3067668d0af57b</t>
        </is>
      </c>
      <c r="I5" s="29" t="inlineStr">
        <is>
          <t>https://drive.google.com/file/d/1x-LKMlfrud6k-BR-jm1RuJMI6OTqG5U0</t>
        </is>
      </c>
      <c r="J5" s="29" t="inlineStr">
        <is>
          <t>Five 13-game regular-season teams remain flagged</t>
        </is>
      </c>
      <c r="K5" s="29" t="inlineStr">
        <is>
          <t>743 rows</t>
        </is>
      </c>
      <c r="L5" s="29" t="n"/>
      <c r="M5" s="29" t="n"/>
      <c r="N5" s="29" t="n"/>
    </row>
    <row r="6">
      <c r="A6" s="29" t="inlineStr">
        <is>
          <t>2026 Board I-H v2.xlsx</t>
        </is>
      </c>
      <c r="B6" s="29" t="inlineStr">
        <is>
          <t>Board</t>
        </is>
      </c>
      <c r="C6" s="29" t="inlineStr">
        <is>
          <t>I-H v2</t>
        </is>
      </c>
      <c r="D6" s="32" t="inlineStr">
        <is>
          <t>CANONICAL</t>
        </is>
      </c>
      <c r="E6" s="29" t="inlineStr">
        <is>
          <t>2026-07-14</t>
        </is>
      </c>
      <c r="F6" s="29" t="inlineStr">
        <is>
          <t>I-H</t>
        </is>
      </c>
      <c r="G6" s="29" t="inlineStr"/>
      <c r="H6" s="29" t="inlineStr">
        <is>
          <t>278701fc8e8ef62f992cf9f04f2ddddb6ba15c428cbd833a7bd14babf62b2213</t>
        </is>
      </c>
      <c r="I6" s="29" t="inlineStr">
        <is>
          <t>https://drive.google.com/file/d/1_kput_kMqAlLfUh7PsnONKXKWzk7iAqU</t>
        </is>
      </c>
      <c r="J6" s="29" t="inlineStr">
        <is>
          <t>Board is kappa-free</t>
        </is>
      </c>
      <c r="K6" s="29" t="inlineStr">
        <is>
          <t>NDSU market correction</t>
        </is>
      </c>
      <c r="L6" s="29" t="n"/>
      <c r="M6" s="29" t="n"/>
      <c r="N6" s="29" t="n"/>
    </row>
    <row r="7">
      <c r="A7" s="29" t="inlineStr">
        <is>
          <t>Pre-season2026 FBS Team Master.xlsx</t>
        </is>
      </c>
      <c r="B7" s="29" t="inlineStr">
        <is>
          <t>Team master</t>
        </is>
      </c>
      <c r="C7" s="29" t="inlineStr">
        <is>
          <t>2026 enriched</t>
        </is>
      </c>
      <c r="D7" s="32" t="inlineStr">
        <is>
          <t>CANONICAL</t>
        </is>
      </c>
      <c r="E7" s="29" t="inlineStr">
        <is>
          <t>2026-07-08</t>
        </is>
      </c>
      <c r="F7" s="29" t="inlineStr">
        <is>
          <t>sparse master</t>
        </is>
      </c>
      <c r="G7" s="29" t="inlineStr"/>
      <c r="H7" s="29" t="inlineStr">
        <is>
          <t>0b0c01f2712b78336840f843696e43b3b003134b6304d1ac14ccd1114679a5c6</t>
        </is>
      </c>
      <c r="I7" s="29" t="inlineStr">
        <is>
          <t>https://drive.google.com/file/d/1Y62iwPWSG7KGoEMl0X3NWoZqZwY10peu</t>
        </is>
      </c>
      <c r="J7" s="29" t="inlineStr">
        <is>
          <t>Manual reviews and proxies remain</t>
        </is>
      </c>
      <c r="K7" s="29" t="inlineStr">
        <is>
          <t>Pinned by Board I</t>
        </is>
      </c>
      <c r="L7" s="29" t="n"/>
      <c r="M7" s="29" t="n"/>
      <c r="N7" s="29" t="n"/>
    </row>
    <row r="8">
      <c r="A8" s="29" t="inlineStr">
        <is>
          <t>2026_FBS_Team_Master.xlsx</t>
        </is>
      </c>
      <c r="B8" s="29" t="inlineStr">
        <is>
          <t>Team master</t>
        </is>
      </c>
      <c r="C8" s="29" t="inlineStr">
        <is>
          <t>sparse</t>
        </is>
      </c>
      <c r="D8" s="36" t="inlineStr">
        <is>
          <t>DO-NOT-USE</t>
        </is>
      </c>
      <c r="E8" s="29" t="inlineStr">
        <is>
          <t>2026-07-08</t>
        </is>
      </c>
      <c r="F8" s="29" t="inlineStr"/>
      <c r="G8" s="29" t="inlineStr">
        <is>
          <t>enriched master</t>
        </is>
      </c>
      <c r="H8" s="29" t="inlineStr"/>
      <c r="I8" s="29" t="inlineStr"/>
      <c r="J8" s="29" t="inlineStr">
        <is>
          <t>Most model inputs blank</t>
        </is>
      </c>
      <c r="K8" s="29" t="inlineStr">
        <is>
          <t>Schema/reference only</t>
        </is>
      </c>
      <c r="L8" s="29" t="n"/>
      <c r="M8" s="29" t="n"/>
      <c r="N8" s="29" t="n"/>
    </row>
    <row r="9">
      <c r="A9" s="29" t="inlineStr">
        <is>
          <t>2026 Network Model v2.xlsx</t>
        </is>
      </c>
      <c r="B9" s="29" t="inlineStr">
        <is>
          <t>TV</t>
        </is>
      </c>
      <c r="C9" s="29" t="inlineStr">
        <is>
          <t>v2</t>
        </is>
      </c>
      <c r="D9" s="32" t="inlineStr">
        <is>
          <t>CANONICAL</t>
        </is>
      </c>
      <c r="E9" s="29" t="inlineStr">
        <is>
          <t>2026-07-15</t>
        </is>
      </c>
      <c r="F9" s="29" t="inlineStr">
        <is>
          <t>v1</t>
        </is>
      </c>
      <c r="G9" s="29" t="inlineStr"/>
      <c r="H9" s="29" t="inlineStr">
        <is>
          <t>3cf906fcea5db2b8452733e9c27ab3031a7152327df01158ac54cc67b9eae142</t>
        </is>
      </c>
      <c r="I9" s="29" t="inlineStr">
        <is>
          <t>https://drive.google.com/file/d/1DGECWqgOP1B_ID_Ae9f11ZC1QEs4p1Z8</t>
        </is>
      </c>
      <c r="J9" s="29" t="inlineStr">
        <is>
          <t>Open NM items</t>
        </is>
      </c>
      <c r="K9" s="29" t="inlineStr">
        <is>
          <t>TV schedule-only firewall</t>
        </is>
      </c>
      <c r="L9" s="29" t="n"/>
      <c r="M9" s="29" t="n"/>
      <c r="N9" s="29" t="n"/>
    </row>
    <row r="10">
      <c r="A10" s="29" t="inlineStr">
        <is>
          <t>Model Parameters TV patch 2026-07-18 v2.xlsx</t>
        </is>
      </c>
      <c r="B10" s="29" t="inlineStr">
        <is>
          <t>TV patch</t>
        </is>
      </c>
      <c r="C10" s="29" t="inlineStr">
        <is>
          <t>v2</t>
        </is>
      </c>
      <c r="D10" s="29" t="inlineStr">
        <is>
          <t>MERGED</t>
        </is>
      </c>
      <c r="E10" s="29" t="inlineStr">
        <is>
          <t>2026-07-18</t>
        </is>
      </c>
      <c r="F10" s="29" t="inlineStr">
        <is>
          <t>TV patch v1</t>
        </is>
      </c>
      <c r="G10" s="29" t="inlineStr"/>
      <c r="H10" s="29" t="inlineStr">
        <is>
          <t>49a8cba5d50a903580e5d672b0f328fe26f7c6ed09ca48beb0f299b48e1f79e1</t>
        </is>
      </c>
      <c r="I10" s="29" t="inlineStr">
        <is>
          <t>https://drive.google.com/file/d/1MmHH6nZ_j-Zfi-RJ0fQQYY8_ALYsZKn2</t>
        </is>
      </c>
      <c r="J10" s="29" t="inlineStr">
        <is>
          <t>W2 collision unresolved</t>
        </is>
      </c>
      <c r="K10" s="29" t="inlineStr">
        <is>
          <t>Merged into successor</t>
        </is>
      </c>
      <c r="L10" s="29" t="n"/>
      <c r="M10" s="29" t="n"/>
      <c r="N10" s="29" t="n"/>
    </row>
    <row r="11">
      <c r="A11" s="29" t="inlineStr">
        <is>
          <t>Model_Parameters_CCG_patch_2026-07-14.xlsx</t>
        </is>
      </c>
      <c r="B11" s="29" t="inlineStr">
        <is>
          <t>CCG patch</t>
        </is>
      </c>
      <c r="C11" s="29" t="inlineStr">
        <is>
          <t>merge-ready</t>
        </is>
      </c>
      <c r="D11" s="29" t="inlineStr">
        <is>
          <t>MERGED</t>
        </is>
      </c>
      <c r="E11" s="29" t="inlineStr">
        <is>
          <t>2026-07-14</t>
        </is>
      </c>
      <c r="F11" s="29" t="inlineStr"/>
      <c r="G11" s="29" t="inlineStr"/>
      <c r="H11" s="29" t="inlineStr">
        <is>
          <t>9ee54707a82ebea031eb13a2570782c3ca4d821e84f2a93eab196449e05de439</t>
        </is>
      </c>
      <c r="I11" s="29" t="inlineStr">
        <is>
          <t>https://drive.google.com/file/d/1iQaUaLqk6_tzX-pzewXRRp_mWLyShSSP</t>
        </is>
      </c>
      <c r="J11" s="29" t="inlineStr">
        <is>
          <t>TB-ECL/A8 historical assumed note</t>
        </is>
      </c>
      <c r="K11" s="29" t="inlineStr">
        <is>
          <t>Merged into successor</t>
        </is>
      </c>
      <c r="L11" s="29" t="n"/>
      <c r="M11" s="29" t="n"/>
      <c r="N11" s="29" t="n"/>
    </row>
    <row r="12">
      <c r="A12" s="29" t="inlineStr">
        <is>
          <t>2025_Rating_Layer_INGESTED.xlsx</t>
        </is>
      </c>
      <c r="B12" s="29" t="inlineStr">
        <is>
          <t>Historical ratings</t>
        </is>
      </c>
      <c r="C12" s="29" t="inlineStr">
        <is>
          <t>accepted</t>
        </is>
      </c>
      <c r="D12" s="32" t="inlineStr">
        <is>
          <t>VALIDATED</t>
        </is>
      </c>
      <c r="E12" s="29" t="inlineStr">
        <is>
          <t>2026-07-07</t>
        </is>
      </c>
      <c r="F12" s="29" t="inlineStr"/>
      <c r="G12" s="29" t="inlineStr"/>
      <c r="H12" s="29" t="inlineStr">
        <is>
          <t>2e83a227c67cfbbd35a1082d80a7995c0db9860b0a3d9b9a0e598060a3a8350b</t>
        </is>
      </c>
      <c r="I12" s="29" t="inlineStr">
        <is>
          <t>https://drive.google.com/file/d/1P3IikcD7LB-H2c2aa-eS4jNGrQu8LSQ-</t>
        </is>
      </c>
      <c r="J12" s="29" t="inlineStr">
        <is>
          <t>Chronological export order defect documented</t>
        </is>
      </c>
      <c r="K12" s="29" t="inlineStr">
        <is>
          <t>119 teams</t>
        </is>
      </c>
      <c r="L12" s="29" t="n"/>
      <c r="M12" s="29" t="n"/>
      <c r="N12" s="29" t="n"/>
    </row>
    <row r="13">
      <c r="A13" s="29" t="inlineStr">
        <is>
          <t>2025_Synthetic_Season_LOCKED_v3.xlsx</t>
        </is>
      </c>
      <c r="B13" s="29" t="inlineStr">
        <is>
          <t>Historical season</t>
        </is>
      </c>
      <c r="C13" s="29" t="inlineStr">
        <is>
          <t>v3</t>
        </is>
      </c>
      <c r="D13" s="32" t="inlineStr">
        <is>
          <t>CANONICAL</t>
        </is>
      </c>
      <c r="E13" s="29" t="inlineStr">
        <is>
          <t>2026-07-20</t>
        </is>
      </c>
      <c r="F13" s="29" t="inlineStr">
        <is>
          <t>v2</t>
        </is>
      </c>
      <c r="G13" s="29" t="inlineStr"/>
      <c r="H13" s="29" t="inlineStr">
        <is>
          <t>77bb6ecf48e805b62b8af238bbf7b3534330df0405b8a170e48bb5c234d532ba</t>
        </is>
      </c>
      <c r="I13" s="29" t="inlineStr">
        <is>
          <t>https://drive.google.com/file/d/1HYwtHAXBdKteBvFcPSk7Pxc1EpBKdoh4</t>
        </is>
      </c>
      <c r="J13" s="29" t="inlineStr"/>
      <c r="K13" s="29" t="inlineStr">
        <is>
          <t>757 games</t>
        </is>
      </c>
      <c r="L13" s="29" t="n"/>
      <c r="M13" s="29" t="n"/>
      <c r="N13" s="29" t="n"/>
    </row>
    <row r="14">
      <c r="A14" s="65" t="inlineStr">
        <is>
          <t>compute_mc_hardened_v2_3.py</t>
        </is>
      </c>
      <c r="B14" s="65" t="inlineStr">
        <is>
          <t>Power Crunch engine</t>
        </is>
      </c>
      <c r="C14" s="65" t="inlineStr">
        <is>
          <t>v2.3</t>
        </is>
      </c>
      <c r="D14" s="65" t="inlineStr">
        <is>
          <t>CANONICAL</t>
        </is>
      </c>
      <c r="E14" s="65" t="inlineStr">
        <is>
          <t>2026-07-14</t>
        </is>
      </c>
      <c r="F14" s="65" t="inlineStr">
        <is>
          <t>v2.0/v2.1/v2.2</t>
        </is>
      </c>
      <c r="G14" s="65" t="n"/>
      <c r="H14" s="65" t="inlineStr">
        <is>
          <t>966f2bbb5affa0ef483794f8349a434764ac41cf6577bca4414ca4e75a3f02ec</t>
        </is>
      </c>
      <c r="I14" s="65" t="inlineStr">
        <is>
          <t>local approved upload</t>
        </is>
      </c>
      <c r="J14" s="65" t="n"/>
      <c r="K14" s="65" t="inlineStr">
        <is>
          <t>Final CCG-capable hardened Monte Carlo engine.</t>
        </is>
      </c>
      <c r="L14" s="29" t="n"/>
      <c r="M14" s="29" t="n"/>
      <c r="N14" s="29" t="n"/>
    </row>
    <row r="15">
      <c r="A15" s="65" t="inlineStr">
        <is>
          <t>2026_HARDENED_Run_v6.csv</t>
        </is>
      </c>
      <c r="B15" s="65" t="inlineStr">
        <is>
          <t>Power Crunch output</t>
        </is>
      </c>
      <c r="C15" s="65" t="inlineStr">
        <is>
          <t>v6</t>
        </is>
      </c>
      <c r="D15" s="65" t="inlineStr">
        <is>
          <t>CANONICAL</t>
        </is>
      </c>
      <c r="E15" s="65" t="inlineStr">
        <is>
          <t>2026-07-14</t>
        </is>
      </c>
      <c r="F15" s="65" t="inlineStr">
        <is>
          <t>v5_CG8</t>
        </is>
      </c>
      <c r="G15" s="65" t="n"/>
      <c r="H15" s="65" t="inlineStr">
        <is>
          <t>3907a502156980a1ba5adfc00e62e116926f351c681dcb3c588a7e17bffa1459</t>
        </is>
      </c>
      <c r="I15" s="65" t="inlineStr">
        <is>
          <t>local approved upload</t>
        </is>
      </c>
      <c r="J15" s="65" t="n"/>
      <c r="K15" s="65" t="inlineStr">
        <is>
          <t>Canonical executed output; v5 data rows identical but v6 aligns provenance to engine v2.3.</t>
        </is>
      </c>
      <c r="L15" s="29" t="n"/>
      <c r="M15" s="29" t="n"/>
      <c r="N15" s="29" t="n"/>
    </row>
    <row r="16">
      <c r="A16" s="65" t="inlineStr">
        <is>
          <t>aac_divisions_2026_RATIFIED.csv</t>
        </is>
      </c>
      <c r="B16" s="65" t="inlineStr">
        <is>
          <t>Configuration</t>
        </is>
      </c>
      <c r="C16" s="65" t="inlineStr">
        <is>
          <t>ratified</t>
        </is>
      </c>
      <c r="D16" s="65" t="inlineStr">
        <is>
          <t>CANONICAL</t>
        </is>
      </c>
      <c r="E16" s="65" t="inlineStr">
        <is>
          <t>2026-07-14</t>
        </is>
      </c>
      <c r="F16" s="65" t="inlineStr">
        <is>
          <t>aac_divisions_2026.csv</t>
        </is>
      </c>
      <c r="G16" s="65" t="n"/>
      <c r="H16" s="65" t="inlineStr">
        <is>
          <t>e0f674b4d0bab13ff943d0ced6364c70df40d4e4a1f1a2cde2a4479a13b2cd0f</t>
        </is>
      </c>
      <c r="I16" s="65" t="inlineStr">
        <is>
          <t>local approved upload</t>
        </is>
      </c>
      <c r="J16" s="65" t="n"/>
      <c r="K16" s="65" t="inlineStr">
        <is>
          <t>Load-bearing AAC division membership.</t>
        </is>
      </c>
      <c r="L16" s="29" t="n"/>
      <c r="M16" s="29" t="n"/>
      <c r="N16" s="29" t="n"/>
    </row>
    <row r="17">
      <c r="A17" s="65" t="inlineStr">
        <is>
          <t>RELEASE_MANIFEST_CCG_FINAL_2026-07-14.json</t>
        </is>
      </c>
      <c r="B17" s="65" t="inlineStr">
        <is>
          <t>Manifest</t>
        </is>
      </c>
      <c r="C17" s="65" t="inlineStr">
        <is>
          <t>final</t>
        </is>
      </c>
      <c r="D17" s="65" t="inlineStr">
        <is>
          <t>CANONICAL</t>
        </is>
      </c>
      <c r="E17" s="65" t="inlineStr">
        <is>
          <t>2026-07-14</t>
        </is>
      </c>
      <c r="F17" s="65" t="n"/>
      <c r="G17" s="65" t="n"/>
      <c r="H17" s="65" t="inlineStr">
        <is>
          <t>dbe84a92773dca46b44e0f11e44814d9cde62e5016cf93351eb2b34a6489f7d8</t>
        </is>
      </c>
      <c r="I17" s="65" t="inlineStr">
        <is>
          <t>local approved upload</t>
        </is>
      </c>
      <c r="J17" s="65" t="n"/>
      <c r="K17" s="65" t="inlineStr">
        <is>
          <t>Authoritative final CCG hash chain.</t>
        </is>
      </c>
      <c r="L17" s="29" t="n"/>
      <c r="M17" s="29" t="n"/>
      <c r="N17" s="29" t="n"/>
    </row>
    <row r="18">
      <c r="A18" s="65" t="inlineStr">
        <is>
          <t>CCG_Consolidation_2026-07-14.md</t>
        </is>
      </c>
      <c r="B18" s="65" t="inlineStr">
        <is>
          <t>Governance record</t>
        </is>
      </c>
      <c r="C18" s="65" t="inlineStr">
        <is>
          <t>final</t>
        </is>
      </c>
      <c r="D18" s="65" t="inlineStr">
        <is>
          <t>AUTHORITATIVE</t>
        </is>
      </c>
      <c r="E18" s="65" t="inlineStr">
        <is>
          <t>2026-07-14</t>
        </is>
      </c>
      <c r="F18" s="65" t="inlineStr">
        <is>
          <t>working rulings memos</t>
        </is>
      </c>
      <c r="G18" s="65" t="n"/>
      <c r="H18" s="65" t="inlineStr">
        <is>
          <t>05bd2af017ddd98dd7ecfb014d682fc4e2aedebe710375e95172d070b4995167</t>
        </is>
      </c>
      <c r="I18" s="65" t="inlineStr">
        <is>
          <t>local approved upload</t>
        </is>
      </c>
      <c r="J18" s="65" t="n"/>
      <c r="K18" s="65" t="inlineStr">
        <is>
          <t>Decision-bearing narrative and classification record.</t>
        </is>
      </c>
      <c r="L18" s="29" t="n"/>
      <c r="M18" s="29" t="n"/>
      <c r="N18" s="29" t="n"/>
    </row>
    <row r="19">
      <c r="A19" s="66" t="inlineStr">
        <is>
          <t>CCG_ENGINE_GAP_MEMO.md</t>
        </is>
      </c>
      <c r="B19" s="66" t="inlineStr">
        <is>
          <t>Working memo</t>
        </is>
      </c>
      <c r="C19" s="66" t="inlineStr">
        <is>
          <t>gap memo</t>
        </is>
      </c>
      <c r="D19" s="66" t="inlineStr">
        <is>
          <t>ARCHIVED</t>
        </is>
      </c>
      <c r="E19" s="66" t="inlineStr">
        <is>
          <t>2026-07-14</t>
        </is>
      </c>
      <c r="F19" s="66" t="n"/>
      <c r="G19" s="66" t="inlineStr">
        <is>
          <t>CCG consolidation + engine v2.3</t>
        </is>
      </c>
      <c r="H19" s="66" t="inlineStr">
        <is>
          <t>6b29bf8d3b06605d6abae3af1af8cc999f8c3999d120068f45e58cfd0d10e270</t>
        </is>
      </c>
      <c r="I19" s="66" t="inlineStr">
        <is>
          <t>local approved upload</t>
        </is>
      </c>
      <c r="J19" s="66" t="inlineStr">
        <is>
          <t>Contains retracted G5-bid warning</t>
        </is>
      </c>
      <c r="K19" s="66" t="inlineStr">
        <is>
          <t>Retained as audit evidence only.</t>
        </is>
      </c>
      <c r="L19" s="29" t="n"/>
      <c r="M19" s="29" t="n"/>
      <c r="N19" s="29" t="n"/>
    </row>
    <row r="20">
      <c r="A20" s="66" t="inlineStr">
        <is>
          <t>run_v3.csv</t>
        </is>
      </c>
      <c r="B20" s="66" t="inlineStr">
        <is>
          <t>Diagnostic output</t>
        </is>
      </c>
      <c r="C20" s="66" t="inlineStr">
        <is>
          <t>pre-CCG</t>
        </is>
      </c>
      <c r="D20" s="66" t="inlineStr">
        <is>
          <t>DO-NOT-USE</t>
        </is>
      </c>
      <c r="E20" s="66" t="inlineStr">
        <is>
          <t>2026-07-14</t>
        </is>
      </c>
      <c r="F20" s="66" t="n"/>
      <c r="G20" s="66" t="inlineStr">
        <is>
          <t>run_v6</t>
        </is>
      </c>
      <c r="H20" s="66" t="inlineStr">
        <is>
          <t>c020d45310912c8554714fab2e13bdff6d09d052ec66f88965ea021c2d556ce5</t>
        </is>
      </c>
      <c r="I20" s="66" t="inlineStr">
        <is>
          <t>local approved upload</t>
        </is>
      </c>
      <c r="J20" s="66" t="inlineStr">
        <is>
          <t>Old engine ignored CCG rows</t>
        </is>
      </c>
      <c r="K20" s="66" t="inlineStr">
        <is>
          <t>Historical proof of silent-drop defect.</t>
        </is>
      </c>
      <c r="L20" s="29" t="n"/>
      <c r="M20" s="29" t="n"/>
      <c r="N20" s="29" t="n"/>
    </row>
    <row r="21">
      <c r="A21" s="66" t="inlineStr">
        <is>
          <t>run_v4.csv</t>
        </is>
      </c>
      <c r="B21" s="66" t="inlineStr">
        <is>
          <t>Diagnostic output</t>
        </is>
      </c>
      <c r="C21" s="66" t="inlineStr">
        <is>
          <t>v4 schedule / old engine</t>
        </is>
      </c>
      <c r="D21" s="66" t="inlineStr">
        <is>
          <t>DO-NOT-USE</t>
        </is>
      </c>
      <c r="E21" s="66" t="inlineStr">
        <is>
          <t>2026-07-14</t>
        </is>
      </c>
      <c r="F21" s="66" t="inlineStr">
        <is>
          <t>run_v3</t>
        </is>
      </c>
      <c r="G21" s="66" t="inlineStr">
        <is>
          <t>run_v6</t>
        </is>
      </c>
      <c r="H21" s="66" t="inlineStr">
        <is>
          <t>b398856737e7470ccf36aa5ab61aae8d87432b9f056c074ca1440a22a9693881</t>
        </is>
      </c>
      <c r="I21" s="66" t="inlineStr">
        <is>
          <t>local approved upload</t>
        </is>
      </c>
      <c r="J21" s="66" t="inlineStr">
        <is>
          <t>Byte-identical data to run_v3 because CCG rows were silently dropped</t>
        </is>
      </c>
      <c r="K21" s="66" t="inlineStr">
        <is>
          <t>Diagnostic only.</t>
        </is>
      </c>
      <c r="L21" s="29" t="n"/>
      <c r="M21" s="29" t="n"/>
      <c r="N21" s="29" t="n"/>
    </row>
    <row r="22">
      <c r="A22" s="66" t="inlineStr">
        <is>
          <t>run_v4_CG7.csv</t>
        </is>
      </c>
      <c r="B22" s="66" t="inlineStr">
        <is>
          <t>Intermediate output</t>
        </is>
      </c>
      <c r="C22" s="66" t="inlineStr">
        <is>
          <t>CG-7</t>
        </is>
      </c>
      <c r="D22" s="66" t="inlineStr">
        <is>
          <t>RETIRED</t>
        </is>
      </c>
      <c r="E22" s="66" t="inlineStr">
        <is>
          <t>2026-07-14</t>
        </is>
      </c>
      <c r="F22" s="66" t="inlineStr">
        <is>
          <t>run_v4</t>
        </is>
      </c>
      <c r="G22" s="66" t="inlineStr">
        <is>
          <t>run_v6</t>
        </is>
      </c>
      <c r="H22" s="66" t="inlineStr">
        <is>
          <t>86cc22889aacf023e2d07df0694c7faa82b91ea52e2aa1bfca085797f3d24e8e</t>
        </is>
      </c>
      <c r="I22" s="66" t="inlineStr">
        <is>
          <t>local approved upload</t>
        </is>
      </c>
      <c r="J22" s="66" t="inlineStr">
        <is>
          <t>Not final conference-select/CG-8/TB-ECL-A8 implementation</t>
        </is>
      </c>
      <c r="K22" s="66" t="inlineStr">
        <is>
          <t>Audit trail only.</t>
        </is>
      </c>
      <c r="L22" s="29" t="n"/>
      <c r="M22" s="29" t="n"/>
      <c r="N22" s="29" t="n"/>
    </row>
    <row r="23">
      <c r="A23" s="29" t="inlineStr">
        <is>
          <t>ACC_Football_Tiebreaker_Policy_Jully_2026.pdf</t>
        </is>
      </c>
      <c r="B23" s="29" t="inlineStr">
        <is>
          <t>External policy</t>
        </is>
      </c>
      <c r="C23" s="29" t="inlineStr">
        <is>
          <t>Amended July 1, 2026</t>
        </is>
      </c>
      <c r="D23" s="29" t="inlineStr">
        <is>
          <t>REFERENCE</t>
        </is>
      </c>
      <c r="E23" s="29" t="inlineStr">
        <is>
          <t>2026-07-01</t>
        </is>
      </c>
      <c r="F23" s="29" t="n"/>
      <c r="G23" s="29" t="n"/>
      <c r="H23" s="29" t="inlineStr">
        <is>
          <t>c5b49646b63487a635370f869e838bcd4c218b5ffc0cf60e4bc15b98db69081b</t>
        </is>
      </c>
      <c r="I23" s="29" t="inlineStr">
        <is>
          <t>local upload</t>
        </is>
      </c>
      <c r="J23" s="29" t="n"/>
      <c r="K23" s="29" t="inlineStr">
        <is>
          <t>Authoritative statement of real ACC policy; does not supersede OSF rules without approval.</t>
        </is>
      </c>
      <c r="L23" s="29" t="n"/>
      <c r="M23" s="29" t="n"/>
      <c r="N23" s="29" t="n"/>
    </row>
    <row r="24">
      <c r="A24" s="29" t="inlineStr">
        <is>
          <t>Pasted text(170).txt</t>
        </is>
      </c>
      <c r="B24" s="29" t="inlineStr">
        <is>
          <t>Research analysis</t>
        </is>
      </c>
      <c r="C24" s="29" t="inlineStr">
        <is>
          <t>2026-07-22</t>
        </is>
      </c>
      <c r="D24" s="29" t="inlineStr">
        <is>
          <t>RESEARCH</t>
        </is>
      </c>
      <c r="E24" s="29" t="inlineStr">
        <is>
          <t>2026-07-22</t>
        </is>
      </c>
      <c r="F24" s="29" t="n"/>
      <c r="G24" s="29" t="n"/>
      <c r="H24" s="29" t="inlineStr">
        <is>
          <t>cba671d977056213fe65bd536ef1a94ca45adc83975d59ce67aa116a7a3b5193</t>
        </is>
      </c>
      <c r="I24" s="29" t="inlineStr">
        <is>
          <t>local upload</t>
        </is>
      </c>
      <c r="J24" s="29" t="inlineStr">
        <is>
          <t>Contains recommendations and unverified external-source summaries</t>
        </is>
      </c>
      <c r="K24" s="29" t="inlineStr">
        <is>
          <t>Use for decision support only; BWI and policy amendments remain unapproved.</t>
        </is>
      </c>
      <c r="L24" s="29" t="n"/>
      <c r="M24" s="29" t="n"/>
      <c r="N24" s="29" t="n"/>
    </row>
    <row r="25" s="26">
      <c r="A25" s="29" t="inlineStr">
        <is>
          <t>ART-SCHED-V5</t>
        </is>
      </c>
      <c r="B25" s="29" t="inlineStr">
        <is>
          <t>2026_FBS_Schedule_LOCKED_v5.xlsx</t>
        </is>
      </c>
      <c r="C25" s="29" t="inlineStr">
        <is>
          <t>LEDGER</t>
        </is>
      </c>
      <c r="D25" s="33" t="inlineStr">
        <is>
          <t>v5</t>
        </is>
      </c>
      <c r="E25" s="29" t="inlineStr">
        <is>
          <t>CANONICAL</t>
        </is>
      </c>
      <c r="F25" s="29" t="inlineStr">
        <is>
          <t>2026-07-22</t>
        </is>
      </c>
      <c r="G25" s="29" t="inlineStr">
        <is>
          <t>2026_FBS_Schedule_LOCKED_v4.xlsx</t>
        </is>
      </c>
      <c r="H25" s="29" t="n"/>
      <c r="I25" s="29" t="inlineStr">
        <is>
          <t>db26c3fff15a61ce8e7efa3b93100fa017e02248c96076d291495b55e855da12</t>
        </is>
      </c>
      <c r="J25" s="29" t="inlineStr">
        <is>
          <t>bd8089f70f6d483a75564e33438272c22daade8e53619fb21a915778975ff221</t>
        </is>
      </c>
      <c r="K25" s="29" t="inlineStr">
        <is>
          <t>Authoritative 2026 schedule</t>
        </is>
      </c>
      <c r="L25" s="29" t="inlineStr">
        <is>
          <t>v4 + R-2026-CAL-01 + R-2026-ACC-NCSU-UVA-01</t>
        </is>
      </c>
      <c r="M25" s="29" t="inlineStr">
        <is>
          <t>None known from this change; five 13-game-team issue remains open.</t>
        </is>
      </c>
      <c r="N25" s="29" t="inlineStr">
        <is>
          <t>G0003 corrected; total 743 unchanged.</t>
        </is>
      </c>
    </row>
    <row r="26">
      <c r="A26" s="29" t="inlineStr">
        <is>
          <t>00_CANON_MANIFEST.xlsx</t>
        </is>
      </c>
      <c r="B26" s="29" t="inlineStr"/>
      <c r="C26" s="29" t="inlineStr">
        <is>
          <t>snapshot 2026-07-14</t>
        </is>
      </c>
      <c r="D26" s="29" t="inlineStr">
        <is>
          <t>HISTORICAL SNAPSHOT</t>
        </is>
      </c>
      <c r="E26" s="29" t="inlineStr">
        <is>
          <t>2026-07-14</t>
        </is>
      </c>
      <c r="F26" s="29" t="inlineStr"/>
      <c r="G26" s="29" t="inlineStr">
        <is>
          <t>Model_Parameters_v2_5 approved authority reconciliation</t>
        </is>
      </c>
      <c r="H26" s="29" t="inlineStr"/>
      <c r="I26" s="29" t="inlineStr"/>
      <c r="J26" s="29" t="inlineStr">
        <is>
          <t>Stale current labels for pre-CCG run, old engine, and schedule v3</t>
        </is>
      </c>
      <c r="K26" s="29" t="inlineStr">
        <is>
          <t>Board I-H v2 remains aligned; other current claims reconciled in sheet 20.</t>
        </is>
      </c>
      <c r="L26" s="29" t="inlineStr"/>
      <c r="M26" s="29" t="inlineStr"/>
      <c r="N26" s="29" t="inlineStr"/>
    </row>
    <row r="27">
      <c r="A27" s="29" t="inlineStr">
        <is>
          <t>2026_HARDENED_Run_v2_IH.csv</t>
        </is>
      </c>
      <c r="B27" s="29" t="inlineStr"/>
      <c r="C27" s="29" t="inlineStr">
        <is>
          <t>v2 IH</t>
        </is>
      </c>
      <c r="D27" s="29" t="inlineStr">
        <is>
          <t>RETIRED / DO-NOT-USE</t>
        </is>
      </c>
      <c r="E27" s="29" t="inlineStr">
        <is>
          <t>2026-07-14</t>
        </is>
      </c>
      <c r="F27" s="29" t="inlineStr">
        <is>
          <t>earlier fixed-rating runs</t>
        </is>
      </c>
      <c r="G27" s="29" t="inlineStr">
        <is>
          <t>2026_HARDENED_Run_v6.csv</t>
        </is>
      </c>
      <c r="H27" s="29" t="inlineStr"/>
      <c r="I27" s="29" t="inlineStr"/>
      <c r="J27" s="29" t="inlineStr">
        <is>
          <t>Pre-CCG; no governed CCG resume/record/title treatment</t>
        </is>
      </c>
      <c r="K27" s="29" t="inlineStr">
        <is>
          <t>Manifest called it current; v2.5 rejects that current-authority claim.</t>
        </is>
      </c>
      <c r="L27" s="29" t="inlineStr"/>
      <c r="M27" s="29" t="inlineStr"/>
      <c r="N27" s="29" t="inlineStr"/>
    </row>
    <row r="28">
      <c r="A28" s="29" t="inlineStr">
        <is>
          <t>compute_mc_hardened.py</t>
        </is>
      </c>
      <c r="B28" s="29" t="inlineStr"/>
      <c r="C28" s="29" t="inlineStr">
        <is>
          <t>legacy</t>
        </is>
      </c>
      <c r="D28" s="29" t="inlineStr">
        <is>
          <t>SUPERSEDED</t>
        </is>
      </c>
      <c r="E28" s="29" t="inlineStr">
        <is>
          <t>2026-07-14</t>
        </is>
      </c>
      <c r="F28" s="29" t="inlineStr">
        <is>
          <t>earlier MC engine</t>
        </is>
      </c>
      <c r="G28" s="29" t="inlineStr">
        <is>
          <t>compute_mc_hardened_v2_3.py</t>
        </is>
      </c>
      <c r="H28" s="29" t="inlineStr"/>
      <c r="I28" s="29" t="inlineStr"/>
      <c r="J28" s="29" t="inlineStr">
        <is>
          <t>Predates final CCG implementation and fail-loud corrections</t>
        </is>
      </c>
      <c r="K28" s="29" t="inlineStr">
        <is>
          <t>Not current implementation.</t>
        </is>
      </c>
      <c r="L28" s="29" t="inlineStr"/>
      <c r="M28" s="29" t="inlineStr"/>
      <c r="N28" s="29" t="inlineStr"/>
    </row>
  </sheetData>
  <autoFilter ref="A2:N28"/>
  <mergeCells count="1">
    <mergeCell ref="A1:K1"/>
  </mergeCells>
  <printOptions horizontalCentered="0"/>
  <pageMargins left="0.25" right="0.25" top="0.5" bottom="0.5" header="0.5" footer="0.5"/>
  <pageSetup orientation="landscape" fitToHeight="0" fitToWidth="1"/>
</worksheet>
</file>

<file path=xl/worksheets/sheet12.xml><?xml version="1.0" encoding="utf-8"?>
<worksheet xmlns="http://schemas.openxmlformats.org/spreadsheetml/2006/main">
  <sheetPr>
    <tabColor rgb="004472C4"/>
    <outlinePr summaryBelow="1" summaryRight="1"/>
    <pageSetUpPr fitToPage="1"/>
  </sheetPr>
  <dimension ref="A1:I26"/>
  <sheetViews>
    <sheetView showGridLines="0" workbookViewId="0">
      <pane ySplit="2" topLeftCell="A3" activePane="bottomLeft" state="frozen"/>
      <selection pane="bottomLeft" activeCell="A1" sqref="A1"/>
    </sheetView>
  </sheetViews>
  <sheetFormatPr baseColWidth="8" defaultRowHeight="15"/>
  <cols>
    <col width="21" customWidth="1" style="26" min="1" max="1"/>
    <col width="22" customWidth="1" style="26" min="2" max="2"/>
    <col width="23" customWidth="1" style="26" min="3" max="3"/>
    <col width="21" customWidth="1" style="26" min="4" max="4"/>
    <col width="17" customWidth="1" style="26" min="5" max="5"/>
    <col width="11" customWidth="1" style="26" min="6" max="6"/>
    <col width="28" customWidth="1" style="26" min="7" max="7"/>
    <col width="12" customWidth="1" style="26" min="8" max="8"/>
    <col width="38" customWidth="1" style="26" min="9" max="9"/>
  </cols>
  <sheetData>
    <row r="1" ht="26" customHeight="1" s="26">
      <c r="A1" s="27" t="inlineStr">
        <is>
          <t>VALIDATION REGISTER</t>
        </is>
      </c>
    </row>
    <row r="2">
      <c r="A2" s="28" t="inlineStr">
        <is>
          <t>validation_id</t>
        </is>
      </c>
      <c r="B2" s="28" t="inlineStr">
        <is>
          <t>component</t>
        </is>
      </c>
      <c r="C2" s="28" t="inlineStr">
        <is>
          <t>test</t>
        </is>
      </c>
      <c r="D2" s="28" t="inlineStr">
        <is>
          <t>expected</t>
        </is>
      </c>
      <c r="E2" s="28" t="inlineStr">
        <is>
          <t>observed</t>
        </is>
      </c>
      <c r="F2" s="28" t="inlineStr">
        <is>
          <t>status</t>
        </is>
      </c>
      <c r="G2" s="28" t="inlineStr">
        <is>
          <t>source</t>
        </is>
      </c>
      <c r="H2" s="28" t="inlineStr">
        <is>
          <t>date</t>
        </is>
      </c>
      <c r="I2" s="28" t="inlineStr">
        <is>
          <t>notes</t>
        </is>
      </c>
    </row>
    <row r="3" s="26">
      <c r="A3" s="29" t="inlineStr">
        <is>
          <t>VAL-SCHED-01</t>
        </is>
      </c>
      <c r="B3" s="29" t="inlineStr">
        <is>
          <t>Schedule v4</t>
        </is>
      </c>
      <c r="C3" s="29" t="inlineStr">
        <is>
          <t>Total rows</t>
        </is>
      </c>
      <c r="D3" s="35" t="n">
        <v>743</v>
      </c>
      <c r="E3" s="35" t="n">
        <v>743</v>
      </c>
      <c r="F3" s="32" t="inlineStr">
        <is>
          <t>VALIDATED</t>
        </is>
      </c>
      <c r="G3" s="29" t="inlineStr">
        <is>
          <t>Schedule v4 Certification</t>
        </is>
      </c>
      <c r="H3" s="29" t="inlineStr">
        <is>
          <t>2026-07-22</t>
        </is>
      </c>
      <c r="I3" s="29" t="inlineStr">
        <is>
          <t>736 REG + 7 CCG</t>
        </is>
      </c>
    </row>
    <row r="4">
      <c r="A4" s="29" t="inlineStr">
        <is>
          <t>VAL-SCHED-02</t>
        </is>
      </c>
      <c r="B4" s="29" t="inlineStr">
        <is>
          <t>Schedule v4</t>
        </is>
      </c>
      <c r="C4" s="29" t="inlineStr">
        <is>
          <t>Unique game IDs</t>
        </is>
      </c>
      <c r="D4" s="35" t="n">
        <v>743</v>
      </c>
      <c r="E4" s="35" t="n">
        <v>743</v>
      </c>
      <c r="F4" s="32" t="inlineStr">
        <is>
          <t>VALIDATED</t>
        </is>
      </c>
      <c r="G4" s="29" t="inlineStr">
        <is>
          <t>Direct workbook inspection</t>
        </is>
      </c>
      <c r="H4" s="29" t="inlineStr">
        <is>
          <t>2026-07-22</t>
        </is>
      </c>
      <c r="I4" s="29" t="inlineStr"/>
    </row>
    <row r="5">
      <c r="A5" s="29" t="inlineStr">
        <is>
          <t>VAL-BOARD-01</t>
        </is>
      </c>
      <c r="B5" s="29" t="inlineStr">
        <is>
          <t>Board I-H v2</t>
        </is>
      </c>
      <c r="C5" s="29" t="inlineStr">
        <is>
          <t>Team count</t>
        </is>
      </c>
      <c r="D5" s="35" t="n">
        <v>121</v>
      </c>
      <c r="E5" s="35" t="n">
        <v>121</v>
      </c>
      <c r="F5" s="32" t="inlineStr">
        <is>
          <t>VALIDATED</t>
        </is>
      </c>
      <c r="G5" s="29" t="inlineStr">
        <is>
          <t>Direct workbook inspection</t>
        </is>
      </c>
      <c r="H5" s="29" t="inlineStr">
        <is>
          <t>2026-07-22</t>
        </is>
      </c>
      <c r="I5" s="29" t="inlineStr"/>
    </row>
    <row r="6">
      <c r="A6" s="29" t="inlineStr">
        <is>
          <t>VAL-TEAM-01</t>
        </is>
      </c>
      <c r="B6" s="29" t="inlineStr">
        <is>
          <t>Enriched team master</t>
        </is>
      </c>
      <c r="C6" s="29" t="inlineStr">
        <is>
          <t>Team count</t>
        </is>
      </c>
      <c r="D6" s="35" t="n">
        <v>121</v>
      </c>
      <c r="E6" s="35" t="n">
        <v>121</v>
      </c>
      <c r="F6" s="32" t="inlineStr">
        <is>
          <t>VALIDATED</t>
        </is>
      </c>
      <c r="G6" s="29" t="inlineStr">
        <is>
          <t>Direct workbook inspection</t>
        </is>
      </c>
      <c r="H6" s="29" t="inlineStr">
        <is>
          <t>2026-07-22</t>
        </is>
      </c>
      <c r="I6" s="29" t="inlineStr"/>
    </row>
    <row r="7">
      <c r="A7" s="29" t="inlineStr">
        <is>
          <t>VAL-2025-01</t>
        </is>
      </c>
      <c r="B7" s="29" t="inlineStr">
        <is>
          <t>2025 rating layer</t>
        </is>
      </c>
      <c r="C7" s="29" t="inlineStr">
        <is>
          <t>Roster reconciliation</t>
        </is>
      </c>
      <c r="D7" s="29" t="inlineStr">
        <is>
          <t>119 identical teams</t>
        </is>
      </c>
      <c r="E7" s="29" t="inlineStr">
        <is>
          <t>PASS</t>
        </is>
      </c>
      <c r="F7" s="32" t="inlineStr">
        <is>
          <t>VALIDATED</t>
        </is>
      </c>
      <c r="G7" s="29" t="inlineStr">
        <is>
          <t>Ingestion Certificate</t>
        </is>
      </c>
      <c r="H7" s="29" t="inlineStr">
        <is>
          <t>2026-07-07</t>
        </is>
      </c>
      <c r="I7" s="29" t="inlineStr"/>
    </row>
    <row r="8">
      <c r="A8" s="29" t="inlineStr">
        <is>
          <t>VAL-2025-02</t>
        </is>
      </c>
      <c r="B8" s="29" t="inlineStr">
        <is>
          <t>2025 rating layer</t>
        </is>
      </c>
      <c r="C8" s="29" t="inlineStr">
        <is>
          <t>Game IDs</t>
        </is>
      </c>
      <c r="D8" s="29" t="inlineStr">
        <is>
          <t>757</t>
        </is>
      </c>
      <c r="E8" s="29" t="inlineStr">
        <is>
          <t>PASS</t>
        </is>
      </c>
      <c r="F8" s="32" t="inlineStr">
        <is>
          <t>VALIDATED</t>
        </is>
      </c>
      <c r="G8" s="29" t="inlineStr">
        <is>
          <t>Ingestion Certificate</t>
        </is>
      </c>
      <c r="H8" s="29" t="inlineStr">
        <is>
          <t>2026-07-07</t>
        </is>
      </c>
      <c r="I8" s="29" t="inlineStr"/>
    </row>
    <row r="9">
      <c r="A9" s="29" t="inlineStr">
        <is>
          <t>VAL-ENG-01</t>
        </is>
      </c>
      <c r="B9" s="29" t="inlineStr">
        <is>
          <t>Legacy game engine</t>
        </is>
      </c>
      <c r="C9" s="29" t="inlineStr">
        <is>
          <t>Points/team/game</t>
        </is>
      </c>
      <c r="D9" s="29" t="inlineStr">
        <is>
          <t>27-30</t>
        </is>
      </c>
      <c r="E9" s="29" t="inlineStr">
        <is>
          <t>28.4</t>
        </is>
      </c>
      <c r="F9" s="32" t="inlineStr">
        <is>
          <t>VALIDATED</t>
        </is>
      </c>
      <c r="G9" s="29" t="inlineStr">
        <is>
          <t>Original CALIBRATION</t>
        </is>
      </c>
      <c r="H9" s="29" t="inlineStr">
        <is>
          <t>2026-07-14</t>
        </is>
      </c>
      <c r="I9" s="29" t="inlineStr">
        <is>
          <t>In band</t>
        </is>
      </c>
    </row>
    <row r="10">
      <c r="A10" s="29" t="inlineStr">
        <is>
          <t>VAL-ENG-02</t>
        </is>
      </c>
      <c r="B10" s="29" t="inlineStr">
        <is>
          <t>Legacy game engine</t>
        </is>
      </c>
      <c r="C10" s="29" t="inlineStr">
        <is>
          <t>Margin SD</t>
        </is>
      </c>
      <c r="D10" s="29" t="inlineStr">
        <is>
          <t>16-18</t>
        </is>
      </c>
      <c r="E10" s="29" t="inlineStr">
        <is>
          <t>20.2</t>
        </is>
      </c>
      <c r="F10" s="31" t="inlineStr">
        <is>
          <t>OPEN</t>
        </is>
      </c>
      <c r="G10" s="29" t="inlineStr">
        <is>
          <t>Original CALIBRATION</t>
        </is>
      </c>
      <c r="H10" s="29" t="inlineStr">
        <is>
          <t>2026-07-14</t>
        </is>
      </c>
      <c r="I10" s="29" t="inlineStr">
        <is>
          <t>Out of band</t>
        </is>
      </c>
    </row>
    <row r="11">
      <c r="A11" s="29" t="inlineStr">
        <is>
          <t>VAL-ENG-03</t>
        </is>
      </c>
      <c r="B11" s="29" t="inlineStr">
        <is>
          <t>Legacy game engine</t>
        </is>
      </c>
      <c r="C11" s="29" t="inlineStr">
        <is>
          <t>OT rate</t>
        </is>
      </c>
      <c r="D11" s="29" t="inlineStr">
        <is>
          <t>4%-6%</t>
        </is>
      </c>
      <c r="E11" s="29" t="inlineStr">
        <is>
          <t>2.5%</t>
        </is>
      </c>
      <c r="F11" s="31" t="inlineStr">
        <is>
          <t>OPEN</t>
        </is>
      </c>
      <c r="G11" s="29" t="inlineStr">
        <is>
          <t>Original CALIBRATION</t>
        </is>
      </c>
      <c r="H11" s="29" t="inlineStr">
        <is>
          <t>2026-07-14</t>
        </is>
      </c>
      <c r="I11" s="29" t="inlineStr">
        <is>
          <t>Out of band</t>
        </is>
      </c>
    </row>
    <row r="12">
      <c r="A12" s="29" t="inlineStr">
        <is>
          <t>VAL-TV-01</t>
        </is>
      </c>
      <c r="B12" s="29" t="inlineStr">
        <is>
          <t>TV model</t>
        </is>
      </c>
      <c r="C12" s="29" t="inlineStr">
        <is>
          <t>W1 assignment</t>
        </is>
      </c>
      <c r="D12" s="29" t="inlineStr">
        <is>
          <t>Complete</t>
        </is>
      </c>
      <c r="E12" s="29" t="inlineStr">
        <is>
          <t>Complete</t>
        </is>
      </c>
      <c r="F12" s="32" t="inlineStr">
        <is>
          <t>VALIDATED</t>
        </is>
      </c>
      <c r="G12" s="29" t="inlineStr">
        <is>
          <t>TV patch provenance</t>
        </is>
      </c>
      <c r="H12" s="29" t="inlineStr">
        <is>
          <t>2026-07-18</t>
        </is>
      </c>
      <c r="I12" s="29" t="inlineStr">
        <is>
          <t>9 games</t>
        </is>
      </c>
    </row>
    <row r="13">
      <c r="A13" s="29" t="inlineStr">
        <is>
          <t>VAL-TV-02</t>
        </is>
      </c>
      <c r="B13" s="29" t="inlineStr">
        <is>
          <t>TV model</t>
        </is>
      </c>
      <c r="C13" s="29" t="inlineStr">
        <is>
          <t>W2 assignment</t>
        </is>
      </c>
      <c r="D13" s="29" t="inlineStr">
        <is>
          <t>No collisions</t>
        </is>
      </c>
      <c r="E13" s="29" t="inlineStr">
        <is>
          <t>1 NBC collision</t>
        </is>
      </c>
      <c r="F13" s="31" t="inlineStr">
        <is>
          <t>OPEN</t>
        </is>
      </c>
      <c r="G13" s="29" t="inlineStr">
        <is>
          <t>TV patch NM-O4</t>
        </is>
      </c>
      <c r="H13" s="29" t="inlineStr">
        <is>
          <t>2026-07-18</t>
        </is>
      </c>
      <c r="I13" s="29" t="inlineStr">
        <is>
          <t>Internally contradictory until ruled</t>
        </is>
      </c>
    </row>
    <row r="14">
      <c r="A14" s="65" t="inlineStr">
        <is>
          <t>VAL-CCG-01</t>
        </is>
      </c>
      <c r="B14" s="65" t="inlineStr">
        <is>
          <t>CCG release</t>
        </is>
      </c>
      <c r="C14" s="65" t="inlineStr">
        <is>
          <t>Manifest hash agreement</t>
        </is>
      </c>
      <c r="D14" s="65" t="inlineStr">
        <is>
          <t>All canonical files match manifest</t>
        </is>
      </c>
      <c r="E14" s="65" t="inlineStr">
        <is>
          <t>Engine, run, schedule, divisions, board and patch hashes match</t>
        </is>
      </c>
      <c r="F14" s="65" t="inlineStr">
        <is>
          <t>VALIDATED</t>
        </is>
      </c>
      <c r="G14" s="65" t="inlineStr">
        <is>
          <t>Final CCG release manifest</t>
        </is>
      </c>
      <c r="H14" s="65" t="inlineStr">
        <is>
          <t>2026-07-22</t>
        </is>
      </c>
      <c r="I14" s="65" t="inlineStr">
        <is>
          <t>Independent local SHA-256 verification.</t>
        </is>
      </c>
    </row>
    <row r="15">
      <c r="A15" s="65" t="inlineStr">
        <is>
          <t>VAL-CCG-02</t>
        </is>
      </c>
      <c r="B15" s="65" t="inlineStr">
        <is>
          <t>Engine v2.3</t>
        </is>
      </c>
      <c r="C15" s="65" t="inlineStr">
        <is>
          <t>Governed parameters</t>
        </is>
      </c>
      <c r="D15" s="65" t="inlineStr">
        <is>
          <t>8000 / 20260714 / 0.85 / 68 / 65 / 1893.3</t>
        </is>
      </c>
      <c r="E15" s="65" t="inlineStr">
        <is>
          <t>Defaults and run metadata agree</t>
        </is>
      </c>
      <c r="F15" s="65" t="inlineStr">
        <is>
          <t>VALIDATED</t>
        </is>
      </c>
      <c r="G15" s="65" t="inlineStr">
        <is>
          <t>Engine v2.3 + run v6</t>
        </is>
      </c>
      <c r="H15" s="65" t="inlineStr">
        <is>
          <t>2026-07-22</t>
        </is>
      </c>
      <c r="I15" s="65" t="n"/>
    </row>
    <row r="16">
      <c r="A16" s="65" t="inlineStr">
        <is>
          <t>VAL-CCG-03</t>
        </is>
      </c>
      <c r="B16" s="65" t="inlineStr">
        <is>
          <t>Schedule loader</t>
        </is>
      </c>
      <c r="C16" s="65" t="inlineStr">
        <is>
          <t>CCG rows active</t>
        </is>
      </c>
      <c r="D16" s="65" t="inlineStr">
        <is>
          <t>743 schedule rows; 7 CCGs executed</t>
        </is>
      </c>
      <c r="E16" s="65" t="inlineStr">
        <is>
          <t>Engine reports 736 REG + 7 CCG</t>
        </is>
      </c>
      <c r="F16" s="65" t="inlineStr">
        <is>
          <t>VALIDATED</t>
        </is>
      </c>
      <c r="G16" s="65" t="inlineStr">
        <is>
          <t>Engine v2.3 / schedule v4</t>
        </is>
      </c>
      <c r="H16" s="65" t="inlineStr">
        <is>
          <t>2026-07-22</t>
        </is>
      </c>
      <c r="I16" s="65" t="inlineStr">
        <is>
          <t>Old v1 loader defect retired.</t>
        </is>
      </c>
    </row>
    <row r="17">
      <c r="A17" s="65" t="inlineStr">
        <is>
          <t>VAL-CCG-04</t>
        </is>
      </c>
      <c r="B17" s="65" t="inlineStr">
        <is>
          <t>CG-7 impact</t>
        </is>
      </c>
      <c r="C17" s="65" t="inlineStr">
        <is>
          <t>CCGs affect record and SOR</t>
        </is>
      </c>
      <c r="D17" s="65" t="inlineStr">
        <is>
          <t>Champions gain win/resume; losers take loss</t>
        </is>
      </c>
      <c r="E17" s="65" t="inlineStr">
        <is>
          <t>Virginia out, USC in; undefeated mass reduced ~36%</t>
        </is>
      </c>
      <c r="F17" s="65" t="inlineStr">
        <is>
          <t>VALIDATED</t>
        </is>
      </c>
      <c r="G17" s="65" t="inlineStr">
        <is>
          <t>CCG consolidation record</t>
        </is>
      </c>
      <c r="H17" s="65" t="inlineStr">
        <is>
          <t>2026-07-14</t>
        </is>
      </c>
      <c r="I17" s="65" t="inlineStr">
        <is>
          <t>Only CCG ruling that changed modal field.</t>
        </is>
      </c>
    </row>
    <row r="18">
      <c r="A18" s="65" t="inlineStr">
        <is>
          <t>VAL-CCG-05</t>
        </is>
      </c>
      <c r="B18" s="65" t="inlineStr">
        <is>
          <t>TB-ECL/A8</t>
        </is>
      </c>
      <c r="C18" s="65" t="inlineStr">
        <is>
          <t>Final-board tiebreak implementation</t>
        </is>
      </c>
      <c r="D18" s="65" t="inlineStr">
        <is>
          <t>Engine v2.3 and v6 alignment</t>
        </is>
      </c>
      <c r="E18" s="65" t="inlineStr">
        <is>
          <t>0 differing data rows from v5; provenance updated</t>
        </is>
      </c>
      <c r="F18" s="65" t="inlineStr">
        <is>
          <t>VALIDATED</t>
        </is>
      </c>
      <c r="G18" s="65" t="inlineStr">
        <is>
          <t>Release manifest / consolidation</t>
        </is>
      </c>
      <c r="H18" s="65" t="inlineStr">
        <is>
          <t>2026-07-14</t>
        </is>
      </c>
      <c r="I18" s="65" t="inlineStr">
        <is>
          <t>Numerically inert but rule-correct.</t>
        </is>
      </c>
    </row>
    <row r="19">
      <c r="A19" s="65" t="inlineStr">
        <is>
          <t>VAL-CCG-06</t>
        </is>
      </c>
      <c r="B19" s="65" t="inlineStr">
        <is>
          <t>Legacy CCG loader</t>
        </is>
      </c>
      <c r="C19" s="65" t="inlineStr">
        <is>
          <t>v3 vs v4 diagnostic</t>
        </is>
      </c>
      <c r="D19" s="65" t="inlineStr">
        <is>
          <t>Old engine should expose defect</t>
        </is>
      </c>
      <c r="E19" s="65" t="inlineStr">
        <is>
          <t>run_v3 and run_v4 data payloads identical</t>
        </is>
      </c>
      <c r="F19" s="65" t="inlineStr">
        <is>
          <t>VALIDATED</t>
        </is>
      </c>
      <c r="G19" s="65" t="inlineStr">
        <is>
          <t>run_v3/run_v4 + gap memo</t>
        </is>
      </c>
      <c r="H19" s="65" t="inlineStr">
        <is>
          <t>2026-07-14</t>
        </is>
      </c>
      <c r="I19" s="65" t="inlineStr">
        <is>
          <t>Confirms silent dropping of NULL-participant CCG rows.</t>
        </is>
      </c>
    </row>
    <row r="20">
      <c r="A20" s="29" t="inlineStr">
        <is>
          <t>VAL-RSCH-PCV3-CB-01</t>
        </is>
      </c>
      <c r="B20" s="29" t="inlineStr">
        <is>
          <t>Power Crunch v3 comeback research</t>
        </is>
      </c>
      <c r="C20" s="29" t="inlineStr">
        <is>
          <t>Research target package recorded</t>
        </is>
      </c>
      <c r="D20" s="35" t="inlineStr">
        <is>
          <t>Artifact preserved without changing canonical engine</t>
        </is>
      </c>
      <c r="E20" s="35" t="inlineStr">
        <is>
          <t>gate_comeback_targets_v1.0.csv recorded</t>
        </is>
      </c>
      <c r="F20" s="32" t="inlineStr">
        <is>
          <t>RESEARCH-ONLY</t>
        </is>
      </c>
      <c r="G20" s="29" t="inlineStr">
        <is>
          <t>gate_comeback_targets_v1.0.csv</t>
        </is>
      </c>
      <c r="H20" s="29" t="inlineStr">
        <is>
          <t>2026-07-22</t>
        </is>
      </c>
      <c r="I20" s="29" t="inlineStr">
        <is>
          <t>No engine pass/fail claim; implementation and empirical validation remain future work.</t>
        </is>
      </c>
    </row>
    <row r="21">
      <c r="A21" s="39" t="inlineStr">
        <is>
          <t>VAL-ACC-01</t>
        </is>
      </c>
      <c r="B21" s="39" t="inlineStr">
        <is>
          <t>ACC policy PDF</t>
        </is>
      </c>
      <c r="C21" s="39" t="inlineStr">
        <is>
          <t>Page/text extraction</t>
        </is>
      </c>
      <c r="D21" s="39" t="inlineStr">
        <is>
          <t>2 pages and policy text readable</t>
        </is>
      </c>
      <c r="E21" s="39" t="inlineStr">
        <is>
          <t>2 pages; complete policy text extracted</t>
        </is>
      </c>
      <c r="F21" s="39" t="inlineStr">
        <is>
          <t>VALIDATED</t>
        </is>
      </c>
      <c r="G21" s="39" t="inlineStr">
        <is>
          <t>Direct PDF inspection</t>
        </is>
      </c>
      <c r="H21" s="39" t="inlineStr">
        <is>
          <t>2026-07-22</t>
        </is>
      </c>
      <c r="I21" s="39" t="inlineStr">
        <is>
          <t>No embedded attachments, forms, annotations, or images.</t>
        </is>
      </c>
    </row>
    <row r="22">
      <c r="A22" s="39" t="inlineStr">
        <is>
          <t>VAL-ACC-02</t>
        </is>
      </c>
      <c r="B22" s="39" t="inlineStr">
        <is>
          <t>ACC policy integration</t>
        </is>
      </c>
      <c r="C22" s="39" t="inlineStr">
        <is>
          <t>Canonical OSF authority unchanged</t>
        </is>
      </c>
      <c r="D22" s="39" t="inlineStr">
        <is>
          <t>R-CCG-01 remains governing pending approval</t>
        </is>
      </c>
      <c r="E22" s="39" t="inlineStr">
        <is>
          <t>Unchanged; policy classified external reference</t>
        </is>
      </c>
      <c r="F22" s="39" t="inlineStr">
        <is>
          <t>VALIDATED</t>
        </is>
      </c>
      <c r="G22" s="39" t="inlineStr">
        <is>
          <t>Workbook governance review</t>
        </is>
      </c>
      <c r="H22" s="39" t="inlineStr">
        <is>
          <t>2026-07-22</t>
        </is>
      </c>
      <c r="I22" s="39" t="inlineStr">
        <is>
          <t>No automatic supersession applied.</t>
        </is>
      </c>
    </row>
    <row r="23" s="26">
      <c r="A23" s="29" t="inlineStr">
        <is>
          <t>VAL-SCHED-V5-01</t>
        </is>
      </c>
      <c r="B23" s="29" t="inlineStr">
        <is>
          <t>Schedule v5</t>
        </is>
      </c>
      <c r="C23" s="29" t="inlineStr">
        <is>
          <t>Unique NCSU/UVA fixture</t>
        </is>
      </c>
      <c r="D23" s="35" t="inlineStr">
        <is>
          <t>Exactly one matching fixture</t>
        </is>
      </c>
      <c r="E23" s="35" t="inlineStr">
        <is>
          <t>1</t>
        </is>
      </c>
      <c r="F23" s="32" t="inlineStr">
        <is>
          <t>PASS</t>
        </is>
      </c>
      <c r="G23" s="29" t="inlineStr">
        <is>
          <t>Direct workbook scan</t>
        </is>
      </c>
      <c r="H23" s="29" t="inlineStr">
        <is>
          <t>2026-07-22</t>
        </is>
      </c>
      <c r="I23" s="29" t="inlineStr">
        <is>
          <t>G0003 only.</t>
        </is>
      </c>
    </row>
    <row r="24" s="26">
      <c r="A24" s="29" t="inlineStr">
        <is>
          <t>VAL-SCHED-V5-02</t>
        </is>
      </c>
      <c r="B24" s="29" t="inlineStr">
        <is>
          <t>Schedule v5</t>
        </is>
      </c>
      <c r="C24" s="29" t="inlineStr">
        <is>
          <t>G0003 approved attributes</t>
        </is>
      </c>
      <c r="D24" s="35" t="inlineStr">
        <is>
          <t>UVA home; NCSU away; HOME; W1; 2026-08-29; conference=Y</t>
        </is>
      </c>
      <c r="E24" s="35" t="inlineStr">
        <is>
          <t>All matched</t>
        </is>
      </c>
      <c r="F24" s="32" t="inlineStr">
        <is>
          <t>PASS</t>
        </is>
      </c>
      <c r="G24" s="29" t="inlineStr">
        <is>
          <t>Direct workbook scan</t>
        </is>
      </c>
      <c r="H24" s="29" t="inlineStr">
        <is>
          <t>2026-07-22</t>
        </is>
      </c>
      <c r="I24" s="29" t="n"/>
    </row>
    <row r="25" s="26">
      <c r="A25" s="29" t="inlineStr">
        <is>
          <t>VAL-SCHED-V5-03</t>
        </is>
      </c>
      <c r="B25" s="29" t="inlineStr">
        <is>
          <t>Schedule v5</t>
        </is>
      </c>
      <c r="C25" s="29" t="inlineStr">
        <is>
          <t>Game count preserved</t>
        </is>
      </c>
      <c r="D25" s="35" t="inlineStr">
        <is>
          <t>743</t>
        </is>
      </c>
      <c r="E25" s="35" t="inlineStr">
        <is>
          <t>743</t>
        </is>
      </c>
      <c r="F25" s="32" t="inlineStr">
        <is>
          <t>PASS</t>
        </is>
      </c>
      <c r="G25" s="29" t="inlineStr">
        <is>
          <t>Games sheet row count</t>
        </is>
      </c>
      <c r="H25" s="29" t="inlineStr">
        <is>
          <t>2026-07-22</t>
        </is>
      </c>
      <c r="I25" s="29" t="inlineStr">
        <is>
          <t>Header excluded.</t>
        </is>
      </c>
    </row>
    <row r="26" s="26">
      <c r="A26" s="29" t="inlineStr">
        <is>
          <t>VAL-SCHED-V5-04</t>
        </is>
      </c>
      <c r="B26" s="29" t="inlineStr">
        <is>
          <t>Schedule v5</t>
        </is>
      </c>
      <c r="C26" s="29" t="inlineStr">
        <is>
          <t>Workbook reopen</t>
        </is>
      </c>
      <c r="D26" s="35" t="inlineStr">
        <is>
          <t>Successful</t>
        </is>
      </c>
      <c r="E26" s="35" t="inlineStr">
        <is>
          <t>Successful</t>
        </is>
      </c>
      <c r="F26" s="32" t="inlineStr">
        <is>
          <t>PASS</t>
        </is>
      </c>
      <c r="G26" s="29" t="inlineStr">
        <is>
          <t>openpyxl reload</t>
        </is>
      </c>
      <c r="H26" s="29" t="inlineStr">
        <is>
          <t>2026-07-22</t>
        </is>
      </c>
      <c r="I26" s="29" t="n"/>
    </row>
  </sheetData>
  <autoFilter ref="A1:I19"/>
  <mergeCells count="1">
    <mergeCell ref="A1:I1"/>
  </mergeCells>
  <printOptions horizontalCentered="0"/>
  <pageMargins left="0.25" right="0.25" top="0.5" bottom="0.5" header="0.5" footer="0.5"/>
  <pageSetup orientation="landscape" fitToHeight="0" fitToWidth="1"/>
</worksheet>
</file>

<file path=xl/worksheets/sheet13.xml><?xml version="1.0" encoding="utf-8"?>
<worksheet xmlns="http://schemas.openxmlformats.org/spreadsheetml/2006/main">
  <sheetPr>
    <tabColor rgb="004472C4"/>
    <outlinePr summaryBelow="1" summaryRight="1"/>
    <pageSetUpPr fitToPage="1"/>
  </sheetPr>
  <dimension ref="A1:J19"/>
  <sheetViews>
    <sheetView showGridLines="0" workbookViewId="0">
      <pane ySplit="2" topLeftCell="A3" activePane="bottomLeft" state="frozen"/>
      <selection pane="bottomLeft" activeCell="A1" sqref="A1"/>
    </sheetView>
  </sheetViews>
  <sheetFormatPr baseColWidth="8" defaultRowHeight="15"/>
  <cols>
    <col width="52" customWidth="1" style="26" min="1" max="1"/>
    <col width="15" customWidth="1" style="26" min="2" max="2"/>
    <col width="16" customWidth="1" style="26" min="3" max="3"/>
    <col width="49" customWidth="1" style="26" min="4" max="4"/>
    <col width="10" customWidth="1" style="26" min="5" max="5"/>
    <col width="10" customWidth="1" style="26" min="6" max="6"/>
    <col width="52" customWidth="1" style="26" min="7" max="7"/>
    <col width="27" customWidth="1" style="26" min="8" max="8"/>
    <col width="13" customWidth="1" style="26" min="9" max="9"/>
    <col width="33" customWidth="1" style="26" min="10" max="10"/>
  </cols>
  <sheetData>
    <row r="1" ht="26" customHeight="1" s="26">
      <c r="A1" s="27" t="inlineStr">
        <is>
          <t>OPEN ITEMS — CURRENT GOVERNANCE AND OPERATING BLOCKERS</t>
        </is>
      </c>
    </row>
    <row r="2">
      <c r="A2" s="28" t="inlineStr">
        <is>
          <t>open_item_id</t>
        </is>
      </c>
      <c r="B2" s="28" t="inlineStr">
        <is>
          <t>project</t>
        </is>
      </c>
      <c r="C2" s="28" t="inlineStr">
        <is>
          <t>domain</t>
        </is>
      </c>
      <c r="D2" s="28" t="inlineStr">
        <is>
          <t>issue</t>
        </is>
      </c>
      <c r="E2" s="28" t="inlineStr">
        <is>
          <t>status</t>
        </is>
      </c>
      <c r="F2" s="28" t="inlineStr">
        <is>
          <t>priority</t>
        </is>
      </c>
      <c r="G2" s="28" t="inlineStr">
        <is>
          <t>recommended_action</t>
        </is>
      </c>
      <c r="H2" s="28" t="inlineStr">
        <is>
          <t>source</t>
        </is>
      </c>
      <c r="I2" s="28" t="inlineStr">
        <is>
          <t>owner</t>
        </is>
      </c>
      <c r="J2" s="28" t="inlineStr">
        <is>
          <t>notes</t>
        </is>
      </c>
    </row>
    <row r="3" s="26">
      <c r="A3" s="29" t="inlineStr">
        <is>
          <t>OI-RATIFY-V2</t>
        </is>
      </c>
      <c r="B3" s="29" t="inlineStr">
        <is>
          <t>Cross-project</t>
        </is>
      </c>
      <c r="C3" s="29" t="inlineStr">
        <is>
          <t>governance</t>
        </is>
      </c>
      <c r="D3" s="29" t="inlineStr">
        <is>
          <t>Ratify this workbook as successor master</t>
        </is>
      </c>
      <c r="E3" s="31" t="inlineStr">
        <is>
          <t>CLOSED</t>
        </is>
      </c>
      <c r="F3" s="29" t="inlineStr">
        <is>
          <t>P0</t>
        </is>
      </c>
      <c r="G3" s="29" t="inlineStr">
        <is>
          <t>Approved by Chairman; successor issued</t>
        </is>
      </c>
      <c r="H3" s="29" t="inlineStr">
        <is>
          <t>User request</t>
        </is>
      </c>
      <c r="I3" s="29" t="inlineStr">
        <is>
          <t>Chairman</t>
        </is>
      </c>
      <c r="J3" s="29" t="inlineStr">
        <is>
          <t>Closed 2026-07-22.</t>
        </is>
      </c>
    </row>
    <row r="4">
      <c r="A4" s="29" t="inlineStr">
        <is>
          <t>OI-SCHED-13</t>
        </is>
      </c>
      <c r="B4" s="29" t="inlineStr">
        <is>
          <t>LEDGER</t>
        </is>
      </c>
      <c r="C4" s="29" t="inlineStr">
        <is>
          <t>schedule</t>
        </is>
      </c>
      <c r="D4" s="29" t="inlineStr">
        <is>
          <t>Five teams have 13 regular-season games</t>
        </is>
      </c>
      <c r="E4" s="31" t="inlineStr">
        <is>
          <t>OPEN</t>
        </is>
      </c>
      <c r="F4" s="29" t="inlineStr">
        <is>
          <t>P0</t>
        </is>
      </c>
      <c r="G4" s="29" t="inlineStr">
        <is>
          <t>Resolve or explicitly ratify exception</t>
        </is>
      </c>
      <c r="H4" s="29" t="inlineStr">
        <is>
          <t>Schedule v4 / prior audit</t>
        </is>
      </c>
      <c r="I4" s="29" t="inlineStr">
        <is>
          <t>Chairman</t>
        </is>
      </c>
      <c r="J4" s="29" t="inlineStr">
        <is>
          <t>ARK, GAST, UK, VAN, WVU</t>
        </is>
      </c>
    </row>
    <row r="5">
      <c r="A5" s="29" t="inlineStr">
        <is>
          <t>NM-O4</t>
        </is>
      </c>
      <c r="B5" s="29" t="inlineStr">
        <is>
          <t>TV</t>
        </is>
      </c>
      <c r="C5" s="29" t="inlineStr">
        <is>
          <t>collision</t>
        </is>
      </c>
      <c r="D5" s="29" t="inlineStr">
        <is>
          <t>W2 IU and Washington both NBC 7:30 ET</t>
        </is>
      </c>
      <c r="E5" s="31" t="inlineStr">
        <is>
          <t>HELD</t>
        </is>
      </c>
      <c r="F5" s="29" t="inlineStr">
        <is>
          <t>P0</t>
        </is>
      </c>
      <c r="G5" s="29" t="inlineStr">
        <is>
          <t>Chairman selects one and reassigns other</t>
        </is>
      </c>
      <c r="H5" s="29" t="inlineStr">
        <is>
          <t>TV patch v2</t>
        </is>
      </c>
      <c r="I5" s="29" t="inlineStr">
        <is>
          <t>Chairman</t>
        </is>
      </c>
      <c r="J5" s="29" t="inlineStr">
        <is>
          <t>W2 not final</t>
        </is>
      </c>
    </row>
    <row r="6">
      <c r="A6" s="29" t="inlineStr">
        <is>
          <t>NM-O6</t>
        </is>
      </c>
      <c r="B6" s="29" t="inlineStr">
        <is>
          <t>TV</t>
        </is>
      </c>
      <c r="C6" s="29" t="inlineStr">
        <is>
          <t>cascade</t>
        </is>
      </c>
      <c r="D6" s="29" t="inlineStr">
        <is>
          <t>Window cascade past pick #4 undefined</t>
        </is>
      </c>
      <c r="E6" s="31" t="inlineStr">
        <is>
          <t>HELD</t>
        </is>
      </c>
      <c r="F6" s="29" t="inlineStr">
        <is>
          <t>P1</t>
        </is>
      </c>
      <c r="G6" s="29" t="inlineStr">
        <is>
          <t>Adopt wrap/dump rule or retain manual hold</t>
        </is>
      </c>
      <c r="H6" s="29" t="inlineStr">
        <is>
          <t>TV patch v2</t>
        </is>
      </c>
      <c r="I6" s="29" t="inlineStr">
        <is>
          <t>Chairman</t>
        </is>
      </c>
      <c r="J6" s="29" t="inlineStr">
        <is>
          <t>Manual hold currently operative</t>
        </is>
      </c>
    </row>
    <row r="7">
      <c r="A7" s="29" t="inlineStr">
        <is>
          <t>NM-O9</t>
        </is>
      </c>
      <c r="B7" s="29" t="inlineStr">
        <is>
          <t>TV</t>
        </is>
      </c>
      <c r="C7" s="29" t="inlineStr">
        <is>
          <t>rights watch</t>
        </is>
      </c>
      <c r="D7" s="29" t="inlineStr">
        <is>
          <t>CBS/Paramount+/TNT acquisition watch</t>
        </is>
      </c>
      <c r="E7" s="31" t="inlineStr">
        <is>
          <t>OPEN</t>
        </is>
      </c>
      <c r="F7" s="29" t="inlineStr">
        <is>
          <t>P2</t>
        </is>
      </c>
      <c r="G7" s="29" t="inlineStr">
        <is>
          <t>Reopen family/production/cap if transaction occurs</t>
        </is>
      </c>
      <c r="H7" s="29" t="inlineStr">
        <is>
          <t>TV patch v2</t>
        </is>
      </c>
      <c r="I7" s="29" t="inlineStr">
        <is>
          <t>Chairman</t>
        </is>
      </c>
      <c r="J7" s="29" t="inlineStr"/>
    </row>
    <row r="8">
      <c r="A8" s="29" t="inlineStr">
        <is>
          <t>NM-O10</t>
        </is>
      </c>
      <c r="B8" s="29" t="inlineStr">
        <is>
          <t>TV</t>
        </is>
      </c>
      <c r="C8" s="29" t="inlineStr">
        <is>
          <t>counts</t>
        </is>
      </c>
      <c r="D8" s="29" t="inlineStr">
        <is>
          <t>FS1, CBSSN linear, ACCN weekly counts undefined</t>
        </is>
      </c>
      <c r="E8" s="31" t="inlineStr">
        <is>
          <t>HELD</t>
        </is>
      </c>
      <c r="F8" s="29" t="inlineStr">
        <is>
          <t>P1</t>
        </is>
      </c>
      <c r="G8" s="29" t="inlineStr">
        <is>
          <t>Define counts or retain one-per-slot constraint</t>
        </is>
      </c>
      <c r="H8" s="29" t="inlineStr">
        <is>
          <t>TV patch v2</t>
        </is>
      </c>
      <c r="I8" s="29" t="inlineStr">
        <is>
          <t>Chairman</t>
        </is>
      </c>
      <c r="J8" s="29" t="inlineStr"/>
    </row>
    <row r="9">
      <c r="A9" s="29" t="inlineStr">
        <is>
          <t>NM-O12</t>
        </is>
      </c>
      <c r="B9" s="29" t="inlineStr">
        <is>
          <t>TV</t>
        </is>
      </c>
      <c r="C9" s="29" t="inlineStr">
        <is>
          <t>capacity</t>
        </is>
      </c>
      <c r="D9" s="29" t="inlineStr">
        <is>
          <t>SEN conference claims have zero slack</t>
        </is>
      </c>
      <c r="E9" s="31" t="inlineStr">
        <is>
          <t>OPEN</t>
        </is>
      </c>
      <c r="F9" s="29" t="inlineStr">
        <is>
          <t>P1</t>
        </is>
      </c>
      <c r="G9" s="29" t="inlineStr">
        <is>
          <t>Adopt interconference allocation priority</t>
        </is>
      </c>
      <c r="H9" s="29" t="inlineStr">
        <is>
          <t>TV patch v2</t>
        </is>
      </c>
      <c r="I9" s="29" t="inlineStr">
        <is>
          <t>Chairman</t>
        </is>
      </c>
      <c r="J9" s="29" t="inlineStr"/>
    </row>
    <row r="10">
      <c r="A10" s="29" t="inlineStr">
        <is>
          <t>NM-O13</t>
        </is>
      </c>
      <c r="B10" s="29" t="inlineStr">
        <is>
          <t>TV</t>
        </is>
      </c>
      <c r="C10" s="29" t="inlineStr">
        <is>
          <t>manual load</t>
        </is>
      </c>
      <c r="D10" s="29" t="inlineStr">
        <is>
          <t>~150 manual decisions expected W3-W16</t>
        </is>
      </c>
      <c r="E10" s="31" t="inlineStr">
        <is>
          <t>OPEN</t>
        </is>
      </c>
      <c r="F10" s="29" t="inlineStr">
        <is>
          <t>P1</t>
        </is>
      </c>
      <c r="G10" s="29" t="inlineStr">
        <is>
          <t>Amend packages or staff manual process</t>
        </is>
      </c>
      <c r="H10" s="29" t="inlineStr">
        <is>
          <t>TV patch v2</t>
        </is>
      </c>
      <c r="I10" s="29" t="inlineStr">
        <is>
          <t>Chairman</t>
        </is>
      </c>
      <c r="J10" s="29" t="inlineStr"/>
    </row>
    <row r="11">
      <c r="A11" s="29" t="inlineStr">
        <is>
          <t>ENG-CAL-MARGIN</t>
        </is>
      </c>
      <c r="B11" s="29" t="inlineStr">
        <is>
          <t>GAME_ENGINE</t>
        </is>
      </c>
      <c r="C11" s="29" t="inlineStr">
        <is>
          <t>calibration</t>
        </is>
      </c>
      <c r="D11" s="29" t="inlineStr">
        <is>
          <t>Margin SD 20.2 exceeds band</t>
        </is>
      </c>
      <c r="E11" s="31" t="inlineStr">
        <is>
          <t>OPEN</t>
        </is>
      </c>
      <c r="F11" s="29" t="inlineStr">
        <is>
          <t>P1</t>
        </is>
      </c>
      <c r="G11" s="29" t="inlineStr">
        <is>
          <t>Rerun current engine calibration</t>
        </is>
      </c>
      <c r="H11" s="29" t="inlineStr">
        <is>
          <t>Original Model Parameters</t>
        </is>
      </c>
      <c r="I11" s="29" t="inlineStr">
        <is>
          <t>Engineering</t>
        </is>
      </c>
      <c r="J11" s="29" t="inlineStr"/>
    </row>
    <row r="12">
      <c r="A12" s="29" t="inlineStr">
        <is>
          <t>ENG-CAL-OT</t>
        </is>
      </c>
      <c r="B12" s="29" t="inlineStr">
        <is>
          <t>GAME_ENGINE</t>
        </is>
      </c>
      <c r="C12" s="29" t="inlineStr">
        <is>
          <t>calibration</t>
        </is>
      </c>
      <c r="D12" s="29" t="inlineStr">
        <is>
          <t>OT rate 2.5% below band</t>
        </is>
      </c>
      <c r="E12" s="31" t="inlineStr">
        <is>
          <t>OPEN</t>
        </is>
      </c>
      <c r="F12" s="29" t="inlineStr">
        <is>
          <t>P1</t>
        </is>
      </c>
      <c r="G12" s="29" t="inlineStr">
        <is>
          <t>Rerun and calibrate</t>
        </is>
      </c>
      <c r="H12" s="29" t="inlineStr">
        <is>
          <t>Original Model Parameters</t>
        </is>
      </c>
      <c r="I12" s="29" t="inlineStr">
        <is>
          <t>Engineering</t>
        </is>
      </c>
      <c r="J12" s="29" t="inlineStr"/>
    </row>
    <row r="13">
      <c r="A13" s="29" t="inlineStr">
        <is>
          <t>ENG-PLACEHOLDERS</t>
        </is>
      </c>
      <c r="B13" s="29" t="inlineStr">
        <is>
          <t>GAME_ENGINE</t>
        </is>
      </c>
      <c r="C13" s="29" t="inlineStr">
        <is>
          <t>parameters</t>
        </is>
      </c>
      <c r="D13" s="29" t="inlineStr">
        <is>
          <t>Nine exact legacy constants remain unavailable</t>
        </is>
      </c>
      <c r="E13" s="31" t="inlineStr">
        <is>
          <t>OPEN</t>
        </is>
      </c>
      <c r="F13" s="29" t="inlineStr">
        <is>
          <t>P1</t>
        </is>
      </c>
      <c r="G13" s="29" t="inlineStr">
        <is>
          <t>Extract from cfb_sim.py or retire legacy engine</t>
        </is>
      </c>
      <c r="H13" s="29" t="inlineStr">
        <is>
          <t>Original Model Parameters</t>
        </is>
      </c>
      <c r="I13" s="29" t="inlineStr">
        <is>
          <t>Engineering</t>
        </is>
      </c>
      <c r="J13" s="29" t="inlineStr"/>
    </row>
    <row r="14">
      <c r="A14" s="29" t="inlineStr">
        <is>
          <t>MODEL-LOAD</t>
        </is>
      </c>
      <c r="B14" s="29" t="inlineStr">
        <is>
          <t>Cross-project</t>
        </is>
      </c>
      <c r="C14" s="29" t="inlineStr">
        <is>
          <t>implementation</t>
        </is>
      </c>
      <c r="D14" s="29" t="inlineStr">
        <is>
          <t>Engines do not uniformly load master parameters</t>
        </is>
      </c>
      <c r="E14" s="31" t="inlineStr">
        <is>
          <t>OPEN</t>
        </is>
      </c>
      <c r="F14" s="29" t="inlineStr">
        <is>
          <t>P0</t>
        </is>
      </c>
      <c r="G14" s="29" t="inlineStr">
        <is>
          <t>Build versioned JSON export and startup validation</t>
        </is>
      </c>
      <c r="H14" s="29" t="inlineStr">
        <is>
          <t>Original doctrine</t>
        </is>
      </c>
      <c r="I14" s="29" t="inlineStr">
        <is>
          <t>Engineering</t>
        </is>
      </c>
      <c r="J14" s="29" t="inlineStr">
        <is>
          <t>Master now exists; versioned machine-readable export and loader enforcement remain open.</t>
        </is>
      </c>
    </row>
    <row r="15">
      <c r="A15" s="67" t="inlineStr">
        <is>
          <t>CCG-CLAIM-GATE</t>
        </is>
      </c>
      <c r="B15" s="67" t="inlineStr">
        <is>
          <t>POWER CRUNCH</t>
        </is>
      </c>
      <c r="C15" s="67" t="inlineStr">
        <is>
          <t>validation</t>
        </is>
      </c>
      <c r="D15" s="67" t="inlineStr">
        <is>
          <t>Add conference-vs-overall CCG selection check to claim verification gate</t>
        </is>
      </c>
      <c r="E15" s="67" t="inlineStr">
        <is>
          <t>OPEN</t>
        </is>
      </c>
      <c r="F15" s="67" t="inlineStr">
        <is>
          <t>P1</t>
        </is>
      </c>
      <c r="G15" s="67" t="inlineStr">
        <is>
          <t>Implement regression test on every engine bump</t>
        </is>
      </c>
      <c r="H15" s="67" t="inlineStr">
        <is>
          <t>CCG consolidation risk register</t>
        </is>
      </c>
      <c r="I15" s="67" t="inlineStr">
        <is>
          <t>Engineering</t>
        </is>
      </c>
      <c r="J15" s="67" t="inlineStr">
        <is>
          <t>Prevents recurrence of DEF-CCG-7.</t>
        </is>
      </c>
    </row>
    <row r="16">
      <c r="A16" s="39" t="inlineStr">
        <is>
          <t>OI-ACC-TIEDSET</t>
        </is>
      </c>
      <c r="B16" s="39" t="inlineStr">
        <is>
          <t>POWER CRUNCH</t>
        </is>
      </c>
      <c r="C16" s="39" t="inlineStr">
        <is>
          <t>CCG tiebreak</t>
        </is>
      </c>
      <c r="D16" s="39" t="inlineStr">
        <is>
          <t>Decide whether to adopt ACC alternate-game-count tied-set definition (same wins OR same losses).</t>
        </is>
      </c>
      <c r="E16" s="39" t="inlineStr">
        <is>
          <t>OPEN</t>
        </is>
      </c>
      <c r="F16" s="39" t="inlineStr">
        <is>
          <t>P1</t>
        </is>
      </c>
      <c r="G16" s="39" t="inlineStr">
        <is>
          <t>Pressure test unequal-game-count fixtures; amend R-CCG-01 only after explicit ruling.</t>
        </is>
      </c>
      <c r="H16" s="39" t="inlineStr">
        <is>
          <t>ACC policy 2026</t>
        </is>
      </c>
      <c r="I16" s="39" t="inlineStr">
        <is>
          <t>Chairman</t>
        </is>
      </c>
      <c r="J16" s="39" t="inlineStr">
        <is>
          <t>Current OSF rule remains in force.</t>
        </is>
      </c>
    </row>
    <row r="17">
      <c r="A17" s="39" t="inlineStr">
        <is>
          <t>OI-ACC-RESTART</t>
        </is>
      </c>
      <c r="B17" s="39" t="inlineStr">
        <is>
          <t>POWER CRUNCH</t>
        </is>
      </c>
      <c r="C17" s="39" t="inlineStr">
        <is>
          <t>CCG tiebreak</t>
        </is>
      </c>
      <c r="D17" s="39" t="inlineStr">
        <is>
          <t>Decide whether to adopt ACC restart cascade and sweep-winner/sweep-loser branches for 3+ team ties.</t>
        </is>
      </c>
      <c r="E17" s="39" t="inlineStr">
        <is>
          <t>OPEN</t>
        </is>
      </c>
      <c r="F17" s="39" t="inlineStr">
        <is>
          <t>P1</t>
        </is>
      </c>
      <c r="G17" s="39" t="inlineStr">
        <is>
          <t>Design deterministic restart algorithm and unit tests before any adoption.</t>
        </is>
      </c>
      <c r="H17" s="39" t="inlineStr">
        <is>
          <t>ACC policy 2026</t>
        </is>
      </c>
      <c r="I17" s="39" t="inlineStr">
        <is>
          <t>Chairman</t>
        </is>
      </c>
      <c r="J17" s="39" t="inlineStr">
        <is>
          <t>Current OSF chain remains in force.</t>
        </is>
      </c>
    </row>
    <row r="18">
      <c r="A18" s="39" t="inlineStr">
        <is>
          <t>OI-TB-SOURCE</t>
        </is>
      </c>
      <c r="B18" s="39" t="inlineStr">
        <is>
          <t>POWER CRUNCH</t>
        </is>
      </c>
      <c r="C18" s="39" t="inlineStr">
        <is>
          <t>implementation</t>
        </is>
      </c>
      <c r="D18" s="39" t="inlineStr">
        <is>
          <t>Verify and reconcile compute_standings.py display tiebreak against R-CCG-01 participant-selection chain.</t>
        </is>
      </c>
      <c r="E18" s="39" t="inlineStr">
        <is>
          <t>OPEN</t>
        </is>
      </c>
      <c r="F18" s="39" t="inlineStr">
        <is>
          <t>P1</t>
        </is>
      </c>
      <c r="G18" s="39" t="inlineStr">
        <is>
          <t>Direct code audit; either unify or explicitly bifurcate by purpose.</t>
        </is>
      </c>
      <c r="H18" s="39" t="inlineStr">
        <is>
          <t>ACC companion analysis</t>
        </is>
      </c>
      <c r="I18" s="39" t="inlineStr">
        <is>
          <t>Engineering / Chairman</t>
        </is>
      </c>
      <c r="J18" s="39" t="inlineStr">
        <is>
          <t>Research text alleges a mismatch; verify against current code.</t>
        </is>
      </c>
    </row>
    <row r="19" s="26">
      <c r="A19" s="29" t="inlineStr">
        <is>
          <t>OI-G0003-VENUE</t>
        </is>
      </c>
      <c r="B19" s="29" t="inlineStr">
        <is>
          <t>LEDGER</t>
        </is>
      </c>
      <c r="C19" s="29" t="inlineStr">
        <is>
          <t>schedule</t>
        </is>
      </c>
      <c r="D19" s="29" t="inlineStr">
        <is>
          <t>Correct G0003 from neutral/NCSU-home to UVA home while retaining W1 and ACC classification</t>
        </is>
      </c>
      <c r="E19" s="31" t="inlineStr">
        <is>
          <t>CLOSED</t>
        </is>
      </c>
      <c r="F19" s="29" t="inlineStr">
        <is>
          <t>P0</t>
        </is>
      </c>
      <c r="G19" s="29" t="inlineStr">
        <is>
          <t>Implemented in schedule v5</t>
        </is>
      </c>
      <c r="H19" s="29" t="inlineStr">
        <is>
          <t>Chairman approval</t>
        </is>
      </c>
      <c r="I19" s="29" t="inlineStr">
        <is>
          <t>OpenAI</t>
        </is>
      </c>
      <c r="J19" s="29" t="inlineStr">
        <is>
          <t>Closed 2026-07-22; schedule count unchanged.</t>
        </is>
      </c>
    </row>
  </sheetData>
  <autoFilter ref="A1:J15"/>
  <mergeCells count="1">
    <mergeCell ref="A1:J1"/>
  </mergeCells>
  <printOptions horizontalCentered="0"/>
  <pageMargins left="0.25" right="0.25" top="0.5" bottom="0.5" header="0.5" footer="0.5"/>
  <pageSetup orientation="landscape" fitToHeight="0" fitToWidth="1"/>
</worksheet>
</file>

<file path=xl/worksheets/sheet14.xml><?xml version="1.0" encoding="utf-8"?>
<worksheet xmlns="http://schemas.openxmlformats.org/spreadsheetml/2006/main">
  <sheetPr>
    <tabColor rgb="004472C4"/>
    <outlinePr summaryBelow="1" summaryRight="1"/>
    <pageSetUpPr fitToPage="1"/>
  </sheetPr>
  <dimension ref="A1:J17"/>
  <sheetViews>
    <sheetView showGridLines="0" workbookViewId="0">
      <pane ySplit="2" topLeftCell="A3" activePane="bottomLeft" state="frozen"/>
      <selection pane="bottomLeft" activeCell="A1" sqref="A1"/>
    </sheetView>
  </sheetViews>
  <sheetFormatPr baseColWidth="8" defaultRowHeight="15"/>
  <cols>
    <col width="18" customWidth="1" style="26" min="1" max="1"/>
    <col width="12" customWidth="1" style="26" min="2" max="2"/>
    <col width="10" customWidth="1" style="26" min="3" max="3"/>
    <col width="27" customWidth="1" style="26" min="4" max="4"/>
    <col width="30" customWidth="1" style="26" min="5" max="5"/>
    <col width="16" customWidth="1" style="26" min="6" max="6"/>
    <col width="45" customWidth="1" style="26" min="7" max="7"/>
    <col width="36" customWidth="1" style="26" min="8" max="8"/>
    <col width="20" customWidth="1" style="26" min="9" max="9"/>
    <col width="22" customWidth="1" style="26" min="10" max="10"/>
  </cols>
  <sheetData>
    <row r="1" ht="26" customHeight="1" s="26">
      <c r="A1" s="27" t="inlineStr">
        <is>
          <t>SUPERSESSION LOG</t>
        </is>
      </c>
    </row>
    <row r="2">
      <c r="A2" s="28" t="inlineStr">
        <is>
          <t>change_id</t>
        </is>
      </c>
      <c r="B2" s="28" t="inlineStr">
        <is>
          <t>date</t>
        </is>
      </c>
      <c r="C2" s="28" t="inlineStr">
        <is>
          <t>domain</t>
        </is>
      </c>
      <c r="D2" s="28" t="inlineStr">
        <is>
          <t>old</t>
        </is>
      </c>
      <c r="E2" s="28" t="inlineStr">
        <is>
          <t>new</t>
        </is>
      </c>
      <c r="F2" s="28" t="inlineStr">
        <is>
          <t>authority</t>
        </is>
      </c>
      <c r="G2" s="28" t="inlineStr">
        <is>
          <t>reason</t>
        </is>
      </c>
      <c r="H2" s="28" t="inlineStr">
        <is>
          <t>source</t>
        </is>
      </c>
      <c r="I2" s="28" t="inlineStr">
        <is>
          <t>migration_required</t>
        </is>
      </c>
      <c r="J2" s="28" t="inlineStr">
        <is>
          <t>completed</t>
        </is>
      </c>
    </row>
    <row r="3" s="26">
      <c r="A3" s="29" t="inlineStr">
        <is>
          <t>SUP-001</t>
        </is>
      </c>
      <c r="B3" s="29" t="inlineStr">
        <is>
          <t>2026-07-14</t>
        </is>
      </c>
      <c r="C3" s="29" t="inlineStr">
        <is>
          <t>Schedule</t>
        </is>
      </c>
      <c r="D3" s="29" t="inlineStr">
        <is>
          <t>v3/v3.2</t>
        </is>
      </c>
      <c r="E3" s="29" t="inlineStr">
        <is>
          <t>v4</t>
        </is>
      </c>
      <c r="F3" s="29" t="inlineStr">
        <is>
          <t>R-CCG-03</t>
        </is>
      </c>
      <c r="G3" s="29" t="inlineStr">
        <is>
          <t>Add seven CCG rows</t>
        </is>
      </c>
      <c r="H3" s="29" t="inlineStr">
        <is>
          <t>CCG patch / schedule certification</t>
        </is>
      </c>
      <c r="I3" s="29" t="inlineStr">
        <is>
          <t>Yes</t>
        </is>
      </c>
      <c r="J3" s="29" t="inlineStr">
        <is>
          <t>Yes</t>
        </is>
      </c>
    </row>
    <row r="4">
      <c r="A4" s="29" t="inlineStr">
        <is>
          <t>SUP-002</t>
        </is>
      </c>
      <c r="B4" s="29" t="inlineStr">
        <is>
          <t>2026-07-14</t>
        </is>
      </c>
      <c r="C4" s="29" t="inlineStr">
        <is>
          <t>Board</t>
        </is>
      </c>
      <c r="D4" s="29" t="inlineStr">
        <is>
          <t>I-H</t>
        </is>
      </c>
      <c r="E4" s="29" t="inlineStr">
        <is>
          <t>I-H v2</t>
        </is>
      </c>
      <c r="F4" s="29" t="inlineStr">
        <is>
          <t>D-MARKET-NDSU</t>
        </is>
      </c>
      <c r="G4" s="29" t="inlineStr">
        <is>
          <t>Correct NDSU market imputation</t>
        </is>
      </c>
      <c r="H4" s="29" t="inlineStr">
        <is>
          <t>Board I-H v2</t>
        </is>
      </c>
      <c r="I4" s="29" t="inlineStr">
        <is>
          <t>Yes</t>
        </is>
      </c>
      <c r="J4" s="29" t="inlineStr">
        <is>
          <t>Yes</t>
        </is>
      </c>
    </row>
    <row r="5">
      <c r="A5" s="29" t="inlineStr">
        <is>
          <t>SUP-003</t>
        </is>
      </c>
      <c r="B5" s="29" t="inlineStr">
        <is>
          <t>2026-07-12</t>
        </is>
      </c>
      <c r="C5" s="29" t="inlineStr">
        <is>
          <t>Board</t>
        </is>
      </c>
      <c r="D5" s="29" t="inlineStr">
        <is>
          <t>conference ecology active</t>
        </is>
      </c>
      <c r="E5" s="29" t="inlineStr">
        <is>
          <t>retired</t>
        </is>
      </c>
      <c r="F5" s="29" t="inlineStr">
        <is>
          <t>R-ECO-01</t>
        </is>
      </c>
      <c r="G5" s="29" t="inlineStr">
        <is>
          <t>Reputation axis and double-count</t>
        </is>
      </c>
      <c r="H5" s="29" t="inlineStr">
        <is>
          <t>Board I CANONICAL-H</t>
        </is>
      </c>
      <c r="I5" s="29" t="inlineStr">
        <is>
          <t>Yes</t>
        </is>
      </c>
      <c r="J5" s="29" t="inlineStr">
        <is>
          <t>Yes</t>
        </is>
      </c>
    </row>
    <row r="6">
      <c r="A6" s="29" t="inlineStr">
        <is>
          <t>SUP-004</t>
        </is>
      </c>
      <c r="B6" s="29" t="inlineStr">
        <is>
          <t>2026-07-18</t>
        </is>
      </c>
      <c r="C6" s="29" t="inlineStr">
        <is>
          <t>TV</t>
        </is>
      </c>
      <c r="D6" s="29" t="inlineStr">
        <is>
          <t>R-TV-SPILL-01</t>
        </is>
      </c>
      <c r="E6" s="29" t="inlineStr">
        <is>
          <t>R-TV-NOSPILL-01</t>
        </is>
      </c>
      <c r="F6" s="29" t="inlineStr">
        <is>
          <t>Chairman</t>
        </is>
      </c>
      <c r="G6" s="29" t="inlineStr">
        <is>
          <t>No automatic sub-brand spillover</t>
        </is>
      </c>
      <c r="H6" s="29" t="inlineStr">
        <is>
          <t>TV patch v2</t>
        </is>
      </c>
      <c r="I6" s="29" t="inlineStr">
        <is>
          <t>Yes</t>
        </is>
      </c>
      <c r="J6" s="29" t="inlineStr">
        <is>
          <t>Yes</t>
        </is>
      </c>
    </row>
    <row r="7">
      <c r="A7" s="29" t="inlineStr">
        <is>
          <t>SUP-005</t>
        </is>
      </c>
      <c r="B7" s="29" t="inlineStr">
        <is>
          <t>2026-07-18</t>
        </is>
      </c>
      <c r="C7" s="29" t="inlineStr">
        <is>
          <t>TV</t>
        </is>
      </c>
      <c r="D7" s="29" t="inlineStr">
        <is>
          <t>TV patch v1</t>
        </is>
      </c>
      <c r="E7" s="29" t="inlineStr">
        <is>
          <t>TV patch v2</t>
        </is>
      </c>
      <c r="F7" s="29" t="inlineStr">
        <is>
          <t>Chairman</t>
        </is>
      </c>
      <c r="G7" s="29" t="inlineStr">
        <is>
          <t>Correct spillover reversal</t>
        </is>
      </c>
      <c r="H7" s="29" t="inlineStr">
        <is>
          <t>TV patch provenance</t>
        </is>
      </c>
      <c r="I7" s="29" t="inlineStr">
        <is>
          <t>Yes</t>
        </is>
      </c>
      <c r="J7" s="29" t="inlineStr">
        <is>
          <t>Yes</t>
        </is>
      </c>
    </row>
    <row r="8">
      <c r="A8" s="29" t="inlineStr">
        <is>
          <t>SUP-006</t>
        </is>
      </c>
      <c r="B8" s="29" t="inlineStr">
        <is>
          <t>2026-07-15</t>
        </is>
      </c>
      <c r="C8" s="29" t="inlineStr">
        <is>
          <t>TV</t>
        </is>
      </c>
      <c r="D8" s="29" t="inlineStr">
        <is>
          <t>Network Model v1</t>
        </is>
      </c>
      <c r="E8" s="29" t="inlineStr">
        <is>
          <t>Network Model v2</t>
        </is>
      </c>
      <c r="F8" s="29" t="inlineStr">
        <is>
          <t>R-TV-FAMILY-02</t>
        </is>
      </c>
      <c r="G8" s="29" t="inlineStr">
        <is>
          <t>Expanded ownership doctrine</t>
        </is>
      </c>
      <c r="H8" s="29" t="inlineStr">
        <is>
          <t>Network Model v2</t>
        </is>
      </c>
      <c r="I8" s="29" t="inlineStr">
        <is>
          <t>Yes</t>
        </is>
      </c>
      <c r="J8" s="29" t="inlineStr">
        <is>
          <t>Yes</t>
        </is>
      </c>
    </row>
    <row r="9">
      <c r="A9" s="29" t="inlineStr">
        <is>
          <t>SUP-007</t>
        </is>
      </c>
      <c r="B9" s="29" t="inlineStr">
        <is>
          <t>2026-07-22</t>
        </is>
      </c>
      <c r="C9" s="29" t="inlineStr">
        <is>
          <t>Master</t>
        </is>
      </c>
      <c r="D9" s="29" t="inlineStr">
        <is>
          <t>Model Parameters v1.0</t>
        </is>
      </c>
      <c r="E9" s="29" t="inlineStr">
        <is>
          <t>Model Parameters v2 proposed</t>
        </is>
      </c>
      <c r="F9" s="29" t="inlineStr">
        <is>
          <t>User direction</t>
        </is>
      </c>
      <c r="G9" s="29" t="inlineStr">
        <is>
          <t>Consolidate current 2026 operating doctrine</t>
        </is>
      </c>
      <c r="H9" s="29" t="inlineStr">
        <is>
          <t>This workbook</t>
        </is>
      </c>
      <c r="I9" s="29" t="inlineStr">
        <is>
          <t>Yes</t>
        </is>
      </c>
      <c r="J9" s="29" t="inlineStr">
        <is>
          <t>Pending ratification</t>
        </is>
      </c>
    </row>
    <row r="10">
      <c r="A10" s="65" t="inlineStr">
        <is>
          <t>SUP-008</t>
        </is>
      </c>
      <c r="B10" s="65" t="inlineStr">
        <is>
          <t>2026-07-14</t>
        </is>
      </c>
      <c r="C10" s="65" t="inlineStr">
        <is>
          <t>CCG engine</t>
        </is>
      </c>
      <c r="D10" s="65" t="inlineStr">
        <is>
          <t>compute_mc_hardened v2.0/v2.1/v2.2</t>
        </is>
      </c>
      <c r="E10" s="65" t="inlineStr">
        <is>
          <t>compute_mc_hardened_v2_3.py</t>
        </is>
      </c>
      <c r="F10" s="65" t="inlineStr">
        <is>
          <t>Chairman rulings R-CCG/CG-7/CG-8/TB-ECL-A8</t>
        </is>
      </c>
      <c r="G10" s="65" t="inlineStr">
        <is>
          <t>Progressive rule implementation</t>
        </is>
      </c>
      <c r="H10" s="65" t="inlineStr">
        <is>
          <t>CCG final release</t>
        </is>
      </c>
      <c r="I10" s="65" t="inlineStr">
        <is>
          <t>Yes</t>
        </is>
      </c>
      <c r="J10" s="65" t="inlineStr">
        <is>
          <t>Yes</t>
        </is>
      </c>
    </row>
    <row r="11">
      <c r="A11" s="65" t="inlineStr">
        <is>
          <t>SUP-009</t>
        </is>
      </c>
      <c r="B11" s="65" t="inlineStr">
        <is>
          <t>2026-07-14</t>
        </is>
      </c>
      <c r="C11" s="65" t="inlineStr">
        <is>
          <t>CCG output</t>
        </is>
      </c>
      <c r="D11" s="65" t="inlineStr">
        <is>
          <t>Run_v3_CG7 / Run_v4_CONF / Run_v5_CG8</t>
        </is>
      </c>
      <c r="E11" s="65" t="inlineStr">
        <is>
          <t>2026_HARDENED_Run_v6.csv</t>
        </is>
      </c>
      <c r="F11" s="65" t="inlineStr">
        <is>
          <t>Final CCG release</t>
        </is>
      </c>
      <c r="G11" s="65" t="inlineStr">
        <is>
          <t>Final-board tiebreak and engine-provenance alignment</t>
        </is>
      </c>
      <c r="H11" s="65" t="inlineStr">
        <is>
          <t>CCG final release manifest</t>
        </is>
      </c>
      <c r="I11" s="65" t="inlineStr">
        <is>
          <t>Yes</t>
        </is>
      </c>
      <c r="J11" s="65" t="inlineStr">
        <is>
          <t>Yes</t>
        </is>
      </c>
    </row>
    <row r="12">
      <c r="A12" s="65" t="inlineStr">
        <is>
          <t>SUP-010</t>
        </is>
      </c>
      <c r="B12" s="65" t="inlineStr">
        <is>
          <t>2026-07-14</t>
        </is>
      </c>
      <c r="C12" s="65" t="inlineStr">
        <is>
          <t>AAC configuration</t>
        </is>
      </c>
      <c r="D12" s="65" t="inlineStr">
        <is>
          <t>aac_divisions_2026.csv NEEDS-RATIFICATION</t>
        </is>
      </c>
      <c r="E12" s="65" t="inlineStr">
        <is>
          <t>aac_divisions_2026_RATIFIED.csv</t>
        </is>
      </c>
      <c r="F12" s="65" t="inlineStr">
        <is>
          <t>R-CCG-07</t>
        </is>
      </c>
      <c r="G12" s="65" t="inlineStr">
        <is>
          <t>Chairman ratified division membership</t>
        </is>
      </c>
      <c r="H12" s="65" t="inlineStr">
        <is>
          <t>CCG final release</t>
        </is>
      </c>
      <c r="I12" s="65" t="inlineStr">
        <is>
          <t>Yes</t>
        </is>
      </c>
      <c r="J12" s="65" t="inlineStr">
        <is>
          <t>Yes</t>
        </is>
      </c>
    </row>
    <row r="13">
      <c r="A13" s="65" t="inlineStr">
        <is>
          <t>SUP-011</t>
        </is>
      </c>
      <c r="B13" s="65" t="inlineStr">
        <is>
          <t>2026-07-22</t>
        </is>
      </c>
      <c r="C13" s="65" t="inlineStr">
        <is>
          <t>Master</t>
        </is>
      </c>
      <c r="D13" s="65" t="inlineStr">
        <is>
          <t>Model Parameters v2 proposed</t>
        </is>
      </c>
      <c r="E13" s="65" t="inlineStr">
        <is>
          <t>Model Parameters v2 approved</t>
        </is>
      </c>
      <c r="F13" s="65" t="inlineStr">
        <is>
          <t>Chairman approval</t>
        </is>
      </c>
      <c r="G13" s="65" t="inlineStr">
        <is>
          <t>Approved accepted/superseded/rejected classifications</t>
        </is>
      </c>
      <c r="H13" s="65" t="inlineStr">
        <is>
          <t>Conversation approval</t>
        </is>
      </c>
      <c r="I13" s="65" t="inlineStr">
        <is>
          <t>Yes</t>
        </is>
      </c>
      <c r="J13" s="65" t="inlineStr">
        <is>
          <t>Yes</t>
        </is>
      </c>
    </row>
    <row r="14" s="26">
      <c r="A14" s="29" t="inlineStr">
        <is>
          <t>SUP-012</t>
        </is>
      </c>
      <c r="B14" s="29" t="inlineStr">
        <is>
          <t>2026-07-22</t>
        </is>
      </c>
      <c r="C14" s="29" t="inlineStr">
        <is>
          <t>Schedule</t>
        </is>
      </c>
      <c r="D14" s="29" t="inlineStr">
        <is>
          <t>2026_FBS_Schedule_LOCKED_v4.xlsx</t>
        </is>
      </c>
      <c r="E14" s="29" t="inlineStr">
        <is>
          <t>2026_FBS_Schedule_LOCKED_v5.xlsx</t>
        </is>
      </c>
      <c r="F14" s="29" t="inlineStr">
        <is>
          <t>R-2026-CAL-01 / R-2026-ACC-NCSU-UVA-01</t>
        </is>
      </c>
      <c r="G14" s="29" t="inlineStr">
        <is>
          <t>Correct G0003 home/away and venue; preserve W1, date, ACC classification, and 743-game count</t>
        </is>
      </c>
      <c r="H14" s="29" t="inlineStr">
        <is>
          <t>Chairman approval + direct v4 verification</t>
        </is>
      </c>
      <c r="I14" s="29" t="inlineStr">
        <is>
          <t>Yes</t>
        </is>
      </c>
      <c r="J14" s="29" t="inlineStr">
        <is>
          <t>Yes</t>
        </is>
      </c>
    </row>
    <row r="15">
      <c r="A15" s="29" t="inlineStr">
        <is>
          <t>SUP-CANON-MANIFEST-01</t>
        </is>
      </c>
      <c r="B15" s="29" t="inlineStr">
        <is>
          <t>2026-07-22</t>
        </is>
      </c>
      <c r="C15" s="29" t="inlineStr">
        <is>
          <t>GOVERNANCE</t>
        </is>
      </c>
      <c r="D15" s="29" t="inlineStr"/>
      <c r="E15" s="29" t="inlineStr"/>
      <c r="F15" s="29" t="inlineStr">
        <is>
          <t>Chairman request / governed ingest</t>
        </is>
      </c>
      <c r="G15" s="29" t="inlineStr">
        <is>
          <t>Prevent stale July 14 labels from overriding later ratified artifacts</t>
        </is>
      </c>
      <c r="H15" s="29" t="inlineStr">
        <is>
          <t>00_CANON_MANIFEST.xlsx</t>
        </is>
      </c>
      <c r="I15" s="29" t="inlineStr">
        <is>
          <t>Yes — ledger classification</t>
        </is>
      </c>
      <c r="J15" s="29" t="inlineStr">
        <is>
          <t>Yes</t>
        </is>
      </c>
    </row>
    <row r="16">
      <c r="A16" s="29" t="inlineStr">
        <is>
          <t>SUP-MC-RUN-02</t>
        </is>
      </c>
      <c r="B16" s="29" t="inlineStr">
        <is>
          <t>2026-07-14</t>
        </is>
      </c>
      <c r="C16" s="29" t="inlineStr">
        <is>
          <t>MONTE_CARLO</t>
        </is>
      </c>
      <c r="D16" s="29" t="inlineStr"/>
      <c r="E16" s="29" t="inlineStr"/>
      <c r="F16" s="29" t="inlineStr">
        <is>
          <t>CCG closure rulings</t>
        </is>
      </c>
      <c r="G16" s="29" t="inlineStr">
        <is>
          <t>CCG-complete governed engine/output chain</t>
        </is>
      </c>
      <c r="H16" s="29" t="inlineStr">
        <is>
          <t>CCG release manifest + consolidation</t>
        </is>
      </c>
      <c r="I16" s="29" t="inlineStr">
        <is>
          <t>Yes</t>
        </is>
      </c>
      <c r="J16" s="29" t="inlineStr">
        <is>
          <t>Yes</t>
        </is>
      </c>
    </row>
    <row r="17">
      <c r="A17" s="29" t="inlineStr">
        <is>
          <t>SUP-MC-ENGINE-02</t>
        </is>
      </c>
      <c r="B17" s="29" t="inlineStr">
        <is>
          <t>2026-07-14</t>
        </is>
      </c>
      <c r="C17" s="29" t="inlineStr">
        <is>
          <t>MONTE_CARLO</t>
        </is>
      </c>
      <c r="D17" s="29" t="inlineStr"/>
      <c r="E17" s="29" t="inlineStr"/>
      <c r="F17" s="29" t="inlineStr">
        <is>
          <t>CCG closure rulings</t>
        </is>
      </c>
      <c r="G17" s="29" t="inlineStr">
        <is>
          <t>Implements final CCG, G5 bid, tiebreak, HFA, and fail-loud rules</t>
        </is>
      </c>
      <c r="H17" s="29" t="inlineStr">
        <is>
          <t>compute_mc_hardened_v2_3.py</t>
        </is>
      </c>
      <c r="I17" s="29" t="inlineStr">
        <is>
          <t>Yes</t>
        </is>
      </c>
      <c r="J17" s="29" t="inlineStr">
        <is>
          <t>Yes</t>
        </is>
      </c>
    </row>
  </sheetData>
  <autoFilter ref="A2:J17"/>
  <mergeCells count="1">
    <mergeCell ref="A1:J1"/>
  </mergeCells>
  <printOptions horizontalCentered="0"/>
  <pageMargins left="0.25" right="0.25" top="0.5" bottom="0.5" header="0.5" footer="0.5"/>
  <pageSetup orientation="landscape" fitToHeight="0" fitToWidth="1"/>
</worksheet>
</file>

<file path=xl/worksheets/sheet15.xml><?xml version="1.0" encoding="utf-8"?>
<worksheet xmlns="http://schemas.openxmlformats.org/spreadsheetml/2006/main">
  <sheetPr>
    <tabColor rgb="004472C4"/>
    <outlinePr summaryBelow="1" summaryRight="1"/>
    <pageSetUpPr fitToPage="1"/>
  </sheetPr>
  <dimension ref="A1:K8"/>
  <sheetViews>
    <sheetView showGridLines="0" workbookViewId="0">
      <pane ySplit="2" topLeftCell="A3" activePane="bottomLeft" state="frozen"/>
      <selection pane="bottomLeft" activeCell="A1" sqref="A1"/>
    </sheetView>
  </sheetViews>
  <sheetFormatPr baseColWidth="8" defaultRowHeight="15"/>
  <cols>
    <col width="30" customWidth="1" style="26" min="1" max="1"/>
    <col width="21" customWidth="1" style="26" min="2" max="2"/>
    <col width="49" customWidth="1" style="26" min="3" max="3"/>
    <col width="32" customWidth="1" style="26" min="4" max="4"/>
    <col width="35" customWidth="1" style="26" min="5" max="5"/>
    <col width="35" customWidth="1" style="26" min="6" max="6"/>
    <col width="31" customWidth="1" style="26" min="7" max="7"/>
    <col width="10" customWidth="1" style="26" min="8" max="8"/>
    <col width="19" customWidth="1" style="26" min="9" max="9"/>
    <col width="15" customWidth="1" style="26" min="10" max="10"/>
    <col width="10" customWidth="1" style="26" min="11" max="11"/>
  </cols>
  <sheetData>
    <row r="1" ht="26" customHeight="1" s="26">
      <c r="A1" s="27" t="inlineStr">
        <is>
          <t>CHAIRMAN RATIFICATION PACKET</t>
        </is>
      </c>
    </row>
    <row r="2">
      <c r="A2" s="28" t="inlineStr">
        <is>
          <t>ratification_id</t>
        </is>
      </c>
      <c r="B2" s="28" t="inlineStr">
        <is>
          <t>issue</t>
        </is>
      </c>
      <c r="C2" s="28" t="inlineStr">
        <is>
          <t>recommended_decision</t>
        </is>
      </c>
      <c r="D2" s="28" t="inlineStr">
        <is>
          <t>alternatives</t>
        </is>
      </c>
      <c r="E2" s="28" t="inlineStr">
        <is>
          <t>evidence</t>
        </is>
      </c>
      <c r="F2" s="28" t="inlineStr">
        <is>
          <t>effect_if_approved</t>
        </is>
      </c>
      <c r="G2" s="28" t="inlineStr">
        <is>
          <t>safe_default_if_deferred</t>
        </is>
      </c>
      <c r="H2" s="28" t="inlineStr">
        <is>
          <t>priority</t>
        </is>
      </c>
      <c r="I2" s="28" t="inlineStr">
        <is>
          <t>chairman_decision</t>
        </is>
      </c>
      <c r="J2" s="28" t="inlineStr">
        <is>
          <t>decision_date</t>
        </is>
      </c>
      <c r="K2" s="28" t="inlineStr">
        <is>
          <t>notes</t>
        </is>
      </c>
    </row>
    <row r="3" s="26">
      <c r="A3" s="29" t="inlineStr">
        <is>
          <t>RAT-001</t>
        </is>
      </c>
      <c r="B3" s="29" t="inlineStr">
        <is>
          <t>Adopt v2 successor</t>
        </is>
      </c>
      <c r="C3" s="29" t="inlineStr">
        <is>
          <t>Ratify Model_Parameters_v2 as canonical master</t>
        </is>
      </c>
      <c r="D3" s="29" t="inlineStr">
        <is>
          <t>Retain v1 + patches separately</t>
        </is>
      </c>
      <c r="E3" s="29" t="inlineStr">
        <is>
          <t>Source register and merged sheets</t>
        </is>
      </c>
      <c r="F3" s="29" t="inlineStr">
        <is>
          <t>One source of truth</t>
        </is>
      </c>
      <c r="G3" s="29" t="inlineStr">
        <is>
          <t>Continue proposed status</t>
        </is>
      </c>
      <c r="H3" s="29" t="inlineStr">
        <is>
          <t>P0</t>
        </is>
      </c>
      <c r="I3" s="38" t="inlineStr">
        <is>
          <t>APPROVED</t>
        </is>
      </c>
      <c r="J3" s="38" t="inlineStr">
        <is>
          <t>2026-07-22</t>
        </is>
      </c>
      <c r="K3" s="38" t="inlineStr">
        <is>
          <t>Successor approved with final CCG implementation/provenance chain.</t>
        </is>
      </c>
    </row>
    <row r="4">
      <c r="A4" s="29" t="inlineStr">
        <is>
          <t>RAT-002</t>
        </is>
      </c>
      <c r="B4" s="29" t="inlineStr">
        <is>
          <t>Five 13-game teams</t>
        </is>
      </c>
      <c r="C4" s="29" t="inlineStr">
        <is>
          <t>Correct schedules or ratify explicit exceptions</t>
        </is>
      </c>
      <c r="D4" s="29" t="inlineStr">
        <is>
          <t>Leave unresolved</t>
        </is>
      </c>
      <c r="E4" s="29" t="inlineStr">
        <is>
          <t>Schedule v4 audit</t>
        </is>
      </c>
      <c r="F4" s="29" t="inlineStr">
        <is>
          <t>Closes schedule integrity blocker</t>
        </is>
      </c>
      <c r="G4" s="29" t="inlineStr">
        <is>
          <t>Block final season run</t>
        </is>
      </c>
      <c r="H4" s="29" t="inlineStr">
        <is>
          <t>P0</t>
        </is>
      </c>
      <c r="I4" s="38" t="inlineStr"/>
      <c r="J4" s="38" t="inlineStr"/>
      <c r="K4" s="38" t="inlineStr"/>
    </row>
    <row r="5">
      <c r="A5" s="29" t="inlineStr">
        <is>
          <t>RAT-003</t>
        </is>
      </c>
      <c r="B5" s="29" t="inlineStr">
        <is>
          <t>TV W2 NBC collision</t>
        </is>
      </c>
      <c r="C5" s="29" t="inlineStr">
        <is>
          <t>Select one BTSN game and reassign other</t>
        </is>
      </c>
      <c r="D5" s="29" t="inlineStr">
        <is>
          <t>Defer Week 2 publication</t>
        </is>
      </c>
      <c r="E5" s="29" t="inlineStr">
        <is>
          <t>NM-O4</t>
        </is>
      </c>
      <c r="F5" s="29" t="inlineStr">
        <is>
          <t>Makes W2 internally consistent</t>
        </is>
      </c>
      <c r="G5" s="29" t="inlineStr">
        <is>
          <t>Mark both provisional</t>
        </is>
      </c>
      <c r="H5" s="29" t="inlineStr">
        <is>
          <t>P0</t>
        </is>
      </c>
      <c r="I5" s="38" t="inlineStr"/>
      <c r="J5" s="38" t="inlineStr"/>
      <c r="K5" s="38" t="inlineStr"/>
    </row>
    <row r="6">
      <c r="A6" s="29" t="inlineStr">
        <is>
          <t>RAT-004</t>
        </is>
      </c>
      <c r="B6" s="29" t="inlineStr">
        <is>
          <t>TV cascade</t>
        </is>
      </c>
      <c r="C6" s="29" t="inlineStr">
        <is>
          <t>Adopt wrap or dump interpretation</t>
        </is>
      </c>
      <c r="D6" s="29" t="inlineStr">
        <is>
          <t>Continue manual hold</t>
        </is>
      </c>
      <c r="E6" s="29" t="inlineStr">
        <is>
          <t>NM-O6</t>
        </is>
      </c>
      <c r="F6" s="29" t="inlineStr">
        <is>
          <t>Reduces manual assignments</t>
        </is>
      </c>
      <c r="G6" s="29" t="inlineStr">
        <is>
          <t>Leave unassigned NEEDS-RULING</t>
        </is>
      </c>
      <c r="H6" s="29" t="inlineStr">
        <is>
          <t>P1</t>
        </is>
      </c>
      <c r="I6" s="38" t="inlineStr"/>
      <c r="J6" s="38" t="inlineStr"/>
      <c r="K6" s="38" t="inlineStr"/>
    </row>
    <row r="7">
      <c r="A7" s="29" t="inlineStr">
        <is>
          <t>RAT-005</t>
        </is>
      </c>
      <c r="B7" s="29" t="inlineStr">
        <is>
          <t>Legacy drive engine</t>
        </is>
      </c>
      <c r="C7" s="29" t="inlineStr">
        <is>
          <t>Recover constants and recalibrate or retire</t>
        </is>
      </c>
      <c r="D7" s="29" t="inlineStr">
        <is>
          <t>Keep placeholders</t>
        </is>
      </c>
      <c r="E7" s="29" t="inlineStr">
        <is>
          <t>Original master</t>
        </is>
      </c>
      <c r="F7" s="29" t="inlineStr">
        <is>
          <t>Determines engine load readiness</t>
        </is>
      </c>
      <c r="G7" s="29" t="inlineStr">
        <is>
          <t>Do not load legacy parameters</t>
        </is>
      </c>
      <c r="H7" s="29" t="inlineStr">
        <is>
          <t>P1</t>
        </is>
      </c>
      <c r="I7" s="38" t="inlineStr"/>
      <c r="J7" s="38" t="inlineStr"/>
      <c r="K7" s="38" t="inlineStr"/>
    </row>
    <row r="8" s="26">
      <c r="A8" s="29" t="inlineStr">
        <is>
          <t>RAT-006</t>
        </is>
      </c>
      <c r="B8" s="29" t="inlineStr">
        <is>
          <t>NC State–Virginia venue/classification correction</t>
        </is>
      </c>
      <c r="C8" s="29" t="inlineStr">
        <is>
          <t>Approve UVA home, NCSU away, HOME venue, W1 Aug 29, ACC conference game</t>
        </is>
      </c>
      <c r="D8" s="29" t="inlineStr">
        <is>
          <t>Retain erroneous neutral/NCSU-home row</t>
        </is>
      </c>
      <c r="E8" s="29" t="inlineStr">
        <is>
          <t>Direct v4 row G0003 + Chairman ruling</t>
        </is>
      </c>
      <c r="F8" s="29" t="inlineStr">
        <is>
          <t>Creates authoritative v5 without changing game count</t>
        </is>
      </c>
      <c r="G8" s="29" t="inlineStr">
        <is>
          <t>Do not alter v4 absent approval</t>
        </is>
      </c>
      <c r="H8" s="29" t="inlineStr">
        <is>
          <t>P0</t>
        </is>
      </c>
      <c r="I8" s="38" t="inlineStr">
        <is>
          <t>APPROVED</t>
        </is>
      </c>
      <c r="J8" s="38" t="inlineStr">
        <is>
          <t>2026-07-22</t>
        </is>
      </c>
      <c r="K8" s="38" t="inlineStr">
        <is>
          <t>Implemented in schedule v5 and model parameters v2.4.</t>
        </is>
      </c>
    </row>
  </sheetData>
  <autoFilter ref="A1:K7"/>
  <mergeCells count="1">
    <mergeCell ref="A1:K1"/>
  </mergeCells>
  <printOptions horizontalCentered="0"/>
  <pageMargins left="0.25" right="0.25" top="0.5" bottom="0.5" header="0.5" footer="0.5"/>
  <pageSetup orientation="landscape" fitToHeight="0" fitToWidth="1"/>
</worksheet>
</file>

<file path=xl/worksheets/sheet16.xml><?xml version="1.0" encoding="utf-8"?>
<worksheet xmlns="http://schemas.openxmlformats.org/spreadsheetml/2006/main">
  <sheetPr>
    <tabColor rgb="004472C4"/>
    <outlinePr summaryBelow="1" summaryRight="1"/>
    <pageSetUpPr fitToPage="1"/>
  </sheetPr>
  <dimension ref="A1:G14"/>
  <sheetViews>
    <sheetView showGridLines="0" workbookViewId="0">
      <pane ySplit="2" topLeftCell="A3" activePane="bottomLeft" state="frozen"/>
      <selection pane="bottomLeft" activeCell="A1" sqref="A1"/>
    </sheetView>
  </sheetViews>
  <sheetFormatPr baseColWidth="8" defaultRowHeight="15"/>
  <cols>
    <col width="22" customWidth="1" style="26" min="1" max="1"/>
    <col width="12" customWidth="1" style="26" min="2" max="2"/>
    <col width="52" customWidth="1" style="26" min="3" max="3"/>
    <col width="52" customWidth="1" style="26" min="4" max="4"/>
    <col width="45" customWidth="1" style="26" min="5" max="5"/>
    <col width="10" customWidth="1" style="26" min="6" max="6"/>
    <col width="21" customWidth="1" style="26" min="7" max="7"/>
  </cols>
  <sheetData>
    <row r="1" ht="26" customHeight="1" s="26">
      <c r="A1" s="27" t="inlineStr">
        <is>
          <t>SUCCESSOR CHANGE LOG</t>
        </is>
      </c>
    </row>
    <row r="2">
      <c r="A2" s="28" t="inlineStr">
        <is>
          <t>version</t>
        </is>
      </c>
      <c r="B2" s="28" t="inlineStr">
        <is>
          <t>date</t>
        </is>
      </c>
      <c r="C2" s="28" t="inlineStr">
        <is>
          <t>change</t>
        </is>
      </c>
      <c r="D2" s="28" t="inlineStr">
        <is>
          <t>reason</t>
        </is>
      </c>
      <c r="E2" s="28" t="inlineStr">
        <is>
          <t>source</t>
        </is>
      </c>
      <c r="F2" s="28" t="inlineStr">
        <is>
          <t>author</t>
        </is>
      </c>
      <c r="G2" s="28" t="inlineStr">
        <is>
          <t>verification_status</t>
        </is>
      </c>
    </row>
    <row r="3" s="26">
      <c r="A3" s="29" t="inlineStr">
        <is>
          <t>v2.0-PROPOSED</t>
        </is>
      </c>
      <c r="B3" s="29" t="inlineStr">
        <is>
          <t>2026-07-22</t>
        </is>
      </c>
      <c r="C3" s="29" t="inlineStr">
        <is>
          <t>Preserved original six sheets; added governed 2026 control layer</t>
        </is>
      </c>
      <c r="D3" s="29" t="inlineStr">
        <is>
          <t>Original master recovered but narrower than current operating system</t>
        </is>
      </c>
      <c r="E3" s="29" t="inlineStr">
        <is>
          <t>Drive primary artifacts + original workbook</t>
        </is>
      </c>
      <c r="F3" s="29" t="inlineStr">
        <is>
          <t>OpenAI</t>
        </is>
      </c>
      <c r="G3" s="29" t="inlineStr">
        <is>
          <t>FILE-VERIFIED</t>
        </is>
      </c>
    </row>
    <row r="4">
      <c r="A4" s="29" t="inlineStr">
        <is>
          <t>v2.0-PROPOSED</t>
        </is>
      </c>
      <c r="B4" s="29" t="inlineStr">
        <is>
          <t>2026-07-22</t>
        </is>
      </c>
      <c r="C4" s="29" t="inlineStr">
        <is>
          <t>Merged TV patch v2</t>
        </is>
      </c>
      <c r="D4" s="29" t="inlineStr">
        <is>
          <t>Close NM-O8 ledger gap</t>
        </is>
      </c>
      <c r="E4" s="29" t="inlineStr">
        <is>
          <t>TV patch v2</t>
        </is>
      </c>
      <c r="F4" s="29" t="inlineStr">
        <is>
          <t>OpenAI</t>
        </is>
      </c>
      <c r="G4" s="29" t="inlineStr">
        <is>
          <t>SOURCE-VERIFIED</t>
        </is>
      </c>
    </row>
    <row r="5">
      <c r="A5" s="29" t="inlineStr">
        <is>
          <t>v2.0-PROPOSED</t>
        </is>
      </c>
      <c r="B5" s="29" t="inlineStr">
        <is>
          <t>2026-07-22</t>
        </is>
      </c>
      <c r="C5" s="29" t="inlineStr">
        <is>
          <t>Merged CCG patch and schedule v4 lineage</t>
        </is>
      </c>
      <c r="D5" s="29" t="inlineStr">
        <is>
          <t>Implement 2026 conference championship doctrine</t>
        </is>
      </c>
      <c r="E5" s="29" t="inlineStr">
        <is>
          <t>CCG patch + schedule v4</t>
        </is>
      </c>
      <c r="F5" s="29" t="inlineStr">
        <is>
          <t>OpenAI</t>
        </is>
      </c>
      <c r="G5" s="29" t="inlineStr">
        <is>
          <t>SOURCE-VERIFIED</t>
        </is>
      </c>
    </row>
    <row r="6">
      <c r="A6" s="29" t="inlineStr">
        <is>
          <t>v2.0-PROPOSED</t>
        </is>
      </c>
      <c r="B6" s="29" t="inlineStr">
        <is>
          <t>2026-07-22</t>
        </is>
      </c>
      <c r="C6" s="29" t="inlineStr">
        <is>
          <t>Added Board I-H v2, enriched team master, source hashes, open items, validation, supersession, ratification</t>
        </is>
      </c>
      <c r="D6" s="29" t="inlineStr">
        <is>
          <t>Create durable single-source successor</t>
        </is>
      </c>
      <c r="E6" s="29" t="inlineStr">
        <is>
          <t>Recovered Drive evidence</t>
        </is>
      </c>
      <c r="F6" s="29" t="inlineStr">
        <is>
          <t>OpenAI</t>
        </is>
      </c>
      <c r="G6" s="29" t="inlineStr">
        <is>
          <t>SOURCE-VERIFIED</t>
        </is>
      </c>
    </row>
    <row r="7">
      <c r="A7" s="65" t="inlineStr">
        <is>
          <t>v2.1-APPROVED</t>
        </is>
      </c>
      <c r="B7" s="65" t="inlineStr">
        <is>
          <t>2026-07-22</t>
        </is>
      </c>
      <c r="C7" s="65" t="inlineStr">
        <is>
          <t>Chairman approved successor and final CCG classifications</t>
        </is>
      </c>
      <c r="D7" s="65" t="inlineStr">
        <is>
          <t>Convert proposed successor to approved governed master</t>
        </is>
      </c>
      <c r="E7" s="65" t="inlineStr">
        <is>
          <t>Conversation approval</t>
        </is>
      </c>
      <c r="F7" s="65" t="inlineStr">
        <is>
          <t>OpenAI</t>
        </is>
      </c>
      <c r="G7" s="65" t="inlineStr">
        <is>
          <t>APPROVED</t>
        </is>
      </c>
    </row>
    <row r="8">
      <c r="A8" s="65" t="inlineStr">
        <is>
          <t>v2.1-APPROVED</t>
        </is>
      </c>
      <c r="B8" s="65" t="inlineStr">
        <is>
          <t>2026-07-22</t>
        </is>
      </c>
      <c r="C8" s="65" t="inlineStr">
        <is>
          <t>Added engine v2.3, run v6, ratified AAC divisions and final release manifest</t>
        </is>
      </c>
      <c r="D8" s="65" t="inlineStr">
        <is>
          <t>Complete CCG implementation and provenance chain</t>
        </is>
      </c>
      <c r="E8" s="65" t="inlineStr">
        <is>
          <t>Approved uploaded CCG package</t>
        </is>
      </c>
      <c r="F8" s="65" t="inlineStr">
        <is>
          <t>OpenAI</t>
        </is>
      </c>
      <c r="G8" s="65" t="inlineStr">
        <is>
          <t>HASH-VERIFIED</t>
        </is>
      </c>
    </row>
    <row r="9">
      <c r="A9" s="65" t="inlineStr">
        <is>
          <t>v2.1-APPROVED</t>
        </is>
      </c>
      <c r="B9" s="65" t="inlineStr">
        <is>
          <t>2026-07-22</t>
        </is>
      </c>
      <c r="C9" s="65" t="inlineStr">
        <is>
          <t>Added rejected/culled/retired register</t>
        </is>
      </c>
      <c r="D9" s="65" t="inlineStr">
        <is>
          <t>Preserve negative decisions and prevent revival of superseded logic</t>
        </is>
      </c>
      <c r="E9" s="65" t="inlineStr">
        <is>
          <t>CCG consolidation + gap memo</t>
        </is>
      </c>
      <c r="F9" s="65" t="inlineStr">
        <is>
          <t>OpenAI</t>
        </is>
      </c>
      <c r="G9" s="65" t="inlineStr">
        <is>
          <t>SOURCE-VERIFIED</t>
        </is>
      </c>
    </row>
    <row r="10">
      <c r="A10" s="65" t="inlineStr">
        <is>
          <t>v2.1-APPROVED</t>
        </is>
      </c>
      <c r="B10" s="65" t="inlineStr">
        <is>
          <t>2026-07-22</t>
        </is>
      </c>
      <c r="C10" s="65" t="inlineStr">
        <is>
          <t>Closed successor ratification and master-merge gaps</t>
        </is>
      </c>
      <c r="D10" s="65" t="inlineStr">
        <is>
          <t>Master exists and approved patch content is merged</t>
        </is>
      </c>
      <c r="E10" s="65" t="inlineStr">
        <is>
          <t>Chairman approval</t>
        </is>
      </c>
      <c r="F10" s="65" t="inlineStr">
        <is>
          <t>OpenAI</t>
        </is>
      </c>
      <c r="G10" s="65" t="inlineStr">
        <is>
          <t>CLOSED</t>
        </is>
      </c>
    </row>
    <row r="11">
      <c r="A11" s="29" t="inlineStr">
        <is>
          <t>v2.2-APPROVED</t>
        </is>
      </c>
      <c r="B11" s="29" t="inlineStr">
        <is>
          <t>2026-07-22</t>
        </is>
      </c>
      <c r="C11" s="29" t="inlineStr">
        <is>
          <t>Added comeback calibration targets as Power Crunch Simulation v3.0 research information</t>
        </is>
      </c>
      <c r="D11" s="29" t="inlineStr">
        <is>
          <t>Preserve research targets without changing canonical board, engine, or observed-performance authority</t>
        </is>
      </c>
      <c r="E11" s="29" t="inlineStr">
        <is>
          <t>gate_comeback_targets_v1.0.csv</t>
        </is>
      </c>
      <c r="F11" s="29" t="inlineStr">
        <is>
          <t>OpenAI</t>
        </is>
      </c>
      <c r="G11" s="29" t="inlineStr">
        <is>
          <t>APPROVED / FILE-VERIFIED</t>
        </is>
      </c>
    </row>
    <row r="12">
      <c r="A12" s="29" t="inlineStr">
        <is>
          <t>v2.3-APPROVED</t>
        </is>
      </c>
      <c r="B12" s="29" t="inlineStr">
        <is>
          <t>2026-07-22</t>
        </is>
      </c>
      <c r="C12" s="29" t="inlineStr">
        <is>
          <t>Added ACC Football Tiebreaker Policy external-reference layer and pressure-test findings</t>
        </is>
      </c>
      <c r="D12" s="29" t="inlineStr">
        <is>
          <t>Preserve real ACC policy while preventing unapproved automatic supersession of OSF rules</t>
        </is>
      </c>
      <c r="E12" s="29" t="inlineStr">
        <is>
          <t>ACC_Football_Tiebreaker_Policy_Jully_2026.pdf + Pasted text(170).txt</t>
        </is>
      </c>
      <c r="F12" s="29" t="inlineStr">
        <is>
          <t>OpenAI</t>
        </is>
      </c>
      <c r="G12" s="29" t="inlineStr">
        <is>
          <t>FILE-VERIFIED / GOVERNANCE-PRESERVED</t>
        </is>
      </c>
    </row>
    <row r="13" s="26">
      <c r="A13" s="29" t="inlineStr">
        <is>
          <t>v2.4-APPROVED</t>
        </is>
      </c>
      <c r="B13" s="29" t="inlineStr">
        <is>
          <t>2026-07-22</t>
        </is>
      </c>
      <c r="C13" s="29" t="inlineStr">
        <is>
          <t>Promoted schedule v5 as authoritative and incorporated R-2026-CAL-01 / R-2026-ACC-NCSU-UVA-01</t>
        </is>
      </c>
      <c r="D13" s="29" t="inlineStr">
        <is>
          <t>Correct G0003 from NCSU-home neutral-site to UVA-home; preserve W1/date/conference status and total count</t>
        </is>
      </c>
      <c r="E13" s="29" t="inlineStr">
        <is>
          <t>2026_FBS_Schedule_LOCKED_v4.xlsx direct verification + Chairman approval</t>
        </is>
      </c>
      <c r="F13" s="29" t="inlineStr">
        <is>
          <t>OpenAI</t>
        </is>
      </c>
      <c r="G13" s="29" t="inlineStr">
        <is>
          <t>APPROVED / HASH-VERIFIED</t>
        </is>
      </c>
    </row>
    <row r="14">
      <c r="A14" s="29" t="inlineStr">
        <is>
          <t>v2.5-APPROVED</t>
        </is>
      </c>
      <c r="B14" s="29" t="inlineStr">
        <is>
          <t>2026-07-22</t>
        </is>
      </c>
      <c r="C14" s="29" t="inlineStr">
        <is>
          <t>Ingested 00_CANON_MANIFEST.xlsx and reconciled stale authority labels</t>
        </is>
      </c>
      <c r="D14" s="29" t="inlineStr">
        <is>
          <t>Preserve historical canon evidence without reviving superseded MC, engine, schedule, or unratified Elo prior</t>
        </is>
      </c>
      <c r="E14" s="29" t="inlineStr">
        <is>
          <t>00_CANON_MANIFEST.xlsx</t>
        </is>
      </c>
      <c r="F14" s="29" t="inlineStr">
        <is>
          <t>OpenAI</t>
        </is>
      </c>
      <c r="G14" s="29" t="inlineStr">
        <is>
          <t>FILE-VERIFIED / AUTHORITY-RECONCILED</t>
        </is>
      </c>
    </row>
  </sheetData>
  <autoFilter ref="A2:G14"/>
  <mergeCells count="1">
    <mergeCell ref="A1:G1"/>
  </mergeCells>
  <printOptions horizontalCentered="0"/>
  <pageMargins left="0.25" right="0.25" top="0.5" bottom="0.5" header="0.5" footer="0.5"/>
  <pageSetup orientation="landscape" fitToHeight="0" fitToWidth="1"/>
</worksheet>
</file>

<file path=xl/worksheets/sheet17.xml><?xml version="1.0" encoding="utf-8"?>
<worksheet xmlns="http://schemas.openxmlformats.org/spreadsheetml/2006/main">
  <sheetPr>
    <outlinePr summaryBelow="1" summaryRight="1"/>
    <pageSetUpPr/>
  </sheetPr>
  <dimension ref="A1:G25"/>
  <sheetViews>
    <sheetView showGridLines="0" workbookViewId="0">
      <pane ySplit="2" topLeftCell="A3" activePane="bottomLeft" state="frozen"/>
      <selection pane="bottomLeft" activeCell="A1" sqref="A1"/>
    </sheetView>
  </sheetViews>
  <sheetFormatPr baseColWidth="8" defaultRowHeight="15"/>
  <cols>
    <col width="14" customWidth="1" style="26" min="1" max="1"/>
    <col width="52" customWidth="1" style="26" min="2" max="2"/>
    <col width="22" customWidth="1" style="26" min="3" max="3"/>
    <col width="54" customWidth="1" style="26" min="4" max="4"/>
    <col width="32" customWidth="1" style="26" min="5" max="5"/>
    <col width="42" customWidth="1" style="26" min="6" max="6"/>
    <col width="28" customWidth="1" style="26" min="7" max="7"/>
  </cols>
  <sheetData>
    <row r="1" ht="24" customHeight="1" s="26">
      <c r="A1" s="68" t="inlineStr">
        <is>
          <t>REJECTED, CULLED, AND RETIRED DECISIONS</t>
        </is>
      </c>
      <c r="B1" s="68" t="n"/>
      <c r="C1" s="68" t="n"/>
      <c r="D1" s="68" t="n"/>
      <c r="E1" s="68" t="n"/>
      <c r="F1" s="68" t="n"/>
      <c r="G1" s="68" t="n"/>
    </row>
    <row r="2" ht="32" customHeight="1" s="26">
      <c r="A2" s="69" t="inlineStr">
        <is>
          <t>item_id</t>
        </is>
      </c>
      <c r="B2" s="69" t="inlineStr">
        <is>
          <t>item</t>
        </is>
      </c>
      <c r="C2" s="69" t="inlineStr">
        <is>
          <t>classification</t>
        </is>
      </c>
      <c r="D2" s="69" t="inlineStr">
        <is>
          <t>reason</t>
        </is>
      </c>
      <c r="E2" s="69" t="inlineStr">
        <is>
          <t>superseded_or_governing_rule</t>
        </is>
      </c>
      <c r="F2" s="69" t="inlineStr">
        <is>
          <t>future_treatment</t>
        </is>
      </c>
      <c r="G2" s="69" t="inlineStr">
        <is>
          <t>source</t>
        </is>
      </c>
    </row>
    <row r="3">
      <c r="A3" s="70" t="inlineStr">
        <is>
          <t>REJ-001</t>
        </is>
      </c>
      <c r="B3" s="70" t="inlineStr">
        <is>
          <t>AAC Option A: conference-wide top two replaces divisions</t>
        </is>
      </c>
      <c r="C3" s="70" t="inlineStr">
        <is>
          <t>REJECTED</t>
        </is>
      </c>
      <c r="D3" s="70" t="inlineStr">
        <is>
          <t>Chairman ruled American vs Athletic division winners.</t>
        </is>
      </c>
      <c r="E3" s="70" t="inlineStr">
        <is>
          <t>R-CCG-05 / R-CCG-07</t>
        </is>
      </c>
      <c r="F3" s="70" t="inlineStr">
        <is>
          <t>Do not revive unless divisions are abolished.</t>
        </is>
      </c>
      <c r="G3" s="70" t="inlineStr">
        <is>
          <t>CCG consolidation</t>
        </is>
      </c>
    </row>
    <row r="4">
      <c r="A4" s="67" t="inlineStr">
        <is>
          <t>REJ-002</t>
        </is>
      </c>
      <c r="B4" s="67" t="inlineStr">
        <is>
          <t>G5 bid under review solely due to campus-host HFA</t>
        </is>
      </c>
      <c r="C4" s="67" t="inlineStr">
        <is>
          <t>RETRACTED</t>
        </is>
      </c>
      <c r="D4" s="67" t="inlineStr">
        <is>
          <t>Warning issued before old engine was inspected; old engine made G5 bid champion-irrelevant.</t>
        </is>
      </c>
      <c r="E4" s="67" t="inlineStr">
        <is>
          <t>Gap memo retraction</t>
        </is>
      </c>
      <c r="F4" s="67" t="inlineStr">
        <is>
          <t>Keep only as audit lesson.</t>
        </is>
      </c>
      <c r="G4" s="67" t="inlineStr">
        <is>
          <t>CCG engine gap memo</t>
        </is>
      </c>
    </row>
    <row r="5">
      <c r="A5" s="70" t="inlineStr">
        <is>
          <t>REJ-003</t>
        </is>
      </c>
      <c r="B5" s="70" t="inlineStr">
        <is>
          <t>Highest-ranked G5 team regardless of championship</t>
        </is>
      </c>
      <c r="C5" s="70" t="inlineStr">
        <is>
          <t>SUPERSEDED/REJECTED</t>
        </is>
      </c>
      <c r="D5" s="70" t="inlineStr">
        <is>
          <t>CG-8 restricts automatic-bid pool to G5 conference champions.</t>
        </is>
      </c>
      <c r="E5" s="70" t="inlineStr">
        <is>
          <t>CG-8</t>
        </is>
      </c>
      <c r="F5" s="70" t="inlineStr">
        <is>
          <t>Do not use in canonical runs.</t>
        </is>
      </c>
      <c r="G5" s="70" t="inlineStr">
        <is>
          <t>CCG consolidation</t>
        </is>
      </c>
    </row>
    <row r="6">
      <c r="A6" s="70" t="inlineStr">
        <is>
          <t>REJ-004</t>
        </is>
      </c>
      <c r="B6" s="70" t="inlineStr">
        <is>
          <t>All seven CCGs neutral-site</t>
        </is>
      </c>
      <c r="C6" s="70" t="inlineStr">
        <is>
          <t>REJECTED</t>
        </is>
      </c>
      <c r="D6" s="70" t="inlineStr">
        <is>
          <t>Pac-12, Mountain West and American use campus-host rules.</t>
        </is>
      </c>
      <c r="E6" s="70" t="inlineStr">
        <is>
          <t>R-CCG-06</t>
        </is>
      </c>
      <c r="F6" s="70" t="inlineStr">
        <is>
          <t>Use schedule v4 venue rules.</t>
        </is>
      </c>
      <c r="G6" s="70" t="inlineStr">
        <is>
          <t>CCG patch</t>
        </is>
      </c>
    </row>
    <row r="7">
      <c r="A7" s="70" t="inlineStr">
        <is>
          <t>REJ-005</t>
        </is>
      </c>
      <c r="B7" s="70" t="inlineStr">
        <is>
          <t>Non-native first CCG-row schema draft</t>
        </is>
      </c>
      <c r="C7" s="70" t="inlineStr">
        <is>
          <t>CULLED</t>
        </is>
      </c>
      <c r="D7" s="70" t="inlineStr">
        <is>
          <t>Did not conform to native schedule columns.</t>
        </is>
      </c>
      <c r="E7" s="70" t="inlineStr">
        <is>
          <t>Schedule v4</t>
        </is>
      </c>
      <c r="F7" s="70" t="inlineStr">
        <is>
          <t>Archive only.</t>
        </is>
      </c>
      <c r="G7" s="70" t="inlineStr">
        <is>
          <t>CCG consolidation</t>
        </is>
      </c>
    </row>
    <row r="8">
      <c r="A8" s="70" t="inlineStr">
        <is>
          <t>REJ-006</t>
        </is>
      </c>
      <c r="B8" s="70" t="inlineStr">
        <is>
          <t>Overall win percentage for CCG participant selection</t>
        </is>
      </c>
      <c r="C8" s="70" t="inlineStr">
        <is>
          <t>REJECTED</t>
        </is>
      </c>
      <c r="D8" s="70" t="inlineStr">
        <is>
          <t>Violates R-CCG-01; conference win percentage governs.</t>
        </is>
      </c>
      <c r="E8" s="70" t="inlineStr">
        <is>
          <t>R-CCG-01 / DEF-CCG-7</t>
        </is>
      </c>
      <c r="F8" s="70" t="inlineStr">
        <is>
          <t>Regression-test selection axis.</t>
        </is>
      </c>
      <c r="G8" s="70" t="inlineStr">
        <is>
          <t>CCG consolidation</t>
        </is>
      </c>
    </row>
    <row r="9">
      <c r="A9" s="67" t="inlineStr">
        <is>
          <t>REJ-007</t>
        </is>
      </c>
      <c r="B9" s="67" t="inlineStr">
        <is>
          <t>HFA 55 for CCG-capable engine</t>
        </is>
      </c>
      <c r="C9" s="67" t="inlineStr">
        <is>
          <t>SUPERSEDED</t>
        </is>
      </c>
      <c r="D9" s="67" t="inlineStr">
        <is>
          <t>Canonical CCG HFA is 65 Elo.</t>
        </is>
      </c>
      <c r="E9" s="67" t="inlineStr">
        <is>
          <t>DEF-CCG-6 / R-CCG-06</t>
        </is>
      </c>
      <c r="F9" s="67" t="inlineStr">
        <is>
          <t>Do not use for canonical 2026 CCG run.</t>
        </is>
      </c>
      <c r="G9" s="67" t="inlineStr">
        <is>
          <t>CCG patch</t>
        </is>
      </c>
    </row>
    <row r="10">
      <c r="A10" s="70" t="inlineStr">
        <is>
          <t>REJ-008</t>
        </is>
      </c>
      <c r="B10" s="70" t="inlineStr">
        <is>
          <t>CCGs do not affect record or SOR</t>
        </is>
      </c>
      <c r="C10" s="70" t="inlineStr">
        <is>
          <t>REJECTED</t>
        </is>
      </c>
      <c r="D10" s="70" t="inlineStr">
        <is>
          <t>CG-7 makes title games first-class resume-bearing games.</t>
        </is>
      </c>
      <c r="E10" s="70" t="inlineStr">
        <is>
          <t>CG-7</t>
        </is>
      </c>
      <c r="F10" s="70" t="inlineStr">
        <is>
          <t>Do not use pre-CG-7 output as authority.</t>
        </is>
      </c>
      <c r="G10" s="70" t="inlineStr">
        <is>
          <t>CCG consolidation</t>
        </is>
      </c>
    </row>
    <row r="11">
      <c r="A11" s="70" t="inlineStr">
        <is>
          <t>REJ-009</t>
        </is>
      </c>
      <c r="B11" s="70" t="inlineStr">
        <is>
          <t>Synthetic CCG for Atlantic-8 or ECL</t>
        </is>
      </c>
      <c r="C11" s="70" t="inlineStr">
        <is>
          <t>REJECTED</t>
        </is>
      </c>
      <c r="D11" s="70" t="inlineStr">
        <is>
          <t>Both crown standings champions after W14 without a title game.</t>
        </is>
      </c>
      <c r="E11" s="70" t="inlineStr">
        <is>
          <t>R-CCG-02 / R-CCG-08</t>
        </is>
      </c>
      <c r="F11" s="70" t="inlineStr">
        <is>
          <t>No CCG schedule rows for these conferences.</t>
        </is>
      </c>
      <c r="G11" s="70" t="inlineStr">
        <is>
          <t>CCG patch</t>
        </is>
      </c>
    </row>
    <row r="12">
      <c r="A12" s="67" t="inlineStr">
        <is>
          <t>REJ-010</t>
        </is>
      </c>
      <c r="B12" s="67" t="inlineStr">
        <is>
          <t>Pre-CCG board as ECL/A8 terminal tiebreak</t>
        </is>
      </c>
      <c r="C12" s="67" t="inlineStr">
        <is>
          <t>SUPERSEDED</t>
        </is>
      </c>
      <c r="D12" s="67" t="inlineStr">
        <is>
          <t>Final committee ranking governs standings-title tie.</t>
        </is>
      </c>
      <c r="E12" s="67" t="inlineStr">
        <is>
          <t>TB-ECL/A8</t>
        </is>
      </c>
      <c r="F12" s="67" t="inlineStr">
        <is>
          <t>Use final-board rank in engine v2.3.</t>
        </is>
      </c>
      <c r="G12" s="67" t="inlineStr">
        <is>
          <t>CCG consolidation</t>
        </is>
      </c>
    </row>
    <row r="13">
      <c r="A13" s="70" t="inlineStr">
        <is>
          <t>REJ-011</t>
        </is>
      </c>
      <c r="B13" s="70" t="inlineStr">
        <is>
          <t>Silently drop malformed schedule rows</t>
        </is>
      </c>
      <c r="C13" s="70" t="inlineStr">
        <is>
          <t>REJECTED BEHAVIOR</t>
        </is>
      </c>
      <c r="D13" s="70" t="inlineStr">
        <is>
          <t>Violates fail-loud charter and concealed CCG rows.</t>
        </is>
      </c>
      <c r="E13" s="70" t="inlineStr">
        <is>
          <t>DEF-CCG-2</t>
        </is>
      </c>
      <c r="F13" s="70" t="inlineStr">
        <is>
          <t>Engine must raise on missing non-CCG participants.</t>
        </is>
      </c>
      <c r="G13" s="70" t="inlineStr">
        <is>
          <t>Gap memo / engine v2.3</t>
        </is>
      </c>
    </row>
    <row r="14">
      <c r="A14" s="67" t="inlineStr">
        <is>
          <t>REJ-012</t>
        </is>
      </c>
      <c r="B14" s="67" t="inlineStr">
        <is>
          <t>Apply kappa inside Board I-H rating construction</t>
        </is>
      </c>
      <c r="C14" s="67" t="inlineStr">
        <is>
          <t>NOT ACCEPTED</t>
        </is>
      </c>
      <c r="D14" s="67" t="inlineStr">
        <is>
          <t>Kappa 0.85 belongs to MC SOR/power blend; Board I-H is kappa-free.</t>
        </is>
      </c>
      <c r="E14" s="67" t="inlineStr">
        <is>
          <t>Board I-H v2 / engine v2.3</t>
        </is>
      </c>
      <c r="F14" s="67" t="inlineStr">
        <is>
          <t>Keep domains separate.</t>
        </is>
      </c>
      <c r="G14" s="67" t="inlineStr">
        <is>
          <t>Board I-H v2</t>
        </is>
      </c>
    </row>
    <row r="15">
      <c r="A15" s="70" t="inlineStr">
        <is>
          <t>REJ-013</t>
        </is>
      </c>
      <c r="B15" s="70" t="inlineStr">
        <is>
          <t>BLEND_v1.0 as automatic replacement for Board I-H v2</t>
        </is>
      </c>
      <c r="C15" s="70" t="inlineStr">
        <is>
          <t>REJECTED AS AUTHORITY</t>
        </is>
      </c>
      <c r="D15" s="70" t="inlineStr">
        <is>
          <t>No recovered specification, weights, lineage, execution artifact, hash, or approval establishes it as canonical.</t>
        </is>
      </c>
      <c r="E15" s="70" t="inlineStr">
        <is>
          <t>Board I-H v2 remains governing board</t>
        </is>
      </c>
      <c r="F15" s="70" t="inlineStr">
        <is>
          <t>Retain only as a reference inside research artifact.</t>
        </is>
      </c>
      <c r="G15" s="70" t="inlineStr">
        <is>
          <t>gate_comeback_targets_v1.0.csv</t>
        </is>
      </c>
    </row>
    <row r="16">
      <c r="A16" s="70" t="inlineStr">
        <is>
          <t>REJ-014</t>
        </is>
      </c>
      <c r="B16" s="70" t="inlineStr">
        <is>
          <t>Automatic BLEND_v1.1 creation/canonization on real-2025 ingestion</t>
        </is>
      </c>
      <c r="C16" s="70" t="inlineStr">
        <is>
          <t>REJECTED</t>
        </is>
      </c>
      <c r="D16" s="70" t="inlineStr">
        <is>
          <t>Data ingestion may trigger research review but cannot automatically supersede a governed board or engine version.</t>
        </is>
      </c>
      <c r="E16" s="70" t="inlineStr">
        <is>
          <t>Governed validation and Chairman approval required</t>
        </is>
      </c>
      <c r="F16" s="70" t="inlineStr">
        <is>
          <t>Treat ingestion as a review trigger only.</t>
        </is>
      </c>
      <c r="G16" s="70" t="inlineStr">
        <is>
          <t>gate_comeback_targets_v1.0.csv</t>
        </is>
      </c>
    </row>
    <row r="17">
      <c r="A17" s="29" t="inlineStr">
        <is>
          <t>REJ-015</t>
        </is>
      </c>
      <c r="B17" s="29" t="inlineStr">
        <is>
          <t>Automatic replacement of R-CCG-01 with the external ACC policy</t>
        </is>
      </c>
      <c r="C17" s="29" t="inlineStr">
        <is>
          <t>REJECTED</t>
        </is>
      </c>
      <c r="D17" s="29" t="inlineStr">
        <is>
          <t>The policy is an external reference and contains mechanisms not yet approved or implemented.</t>
        </is>
      </c>
      <c r="E17" s="29" t="inlineStr">
        <is>
          <t>R-CCG-01 remains governing</t>
        </is>
      </c>
      <c r="F17" s="29" t="inlineStr">
        <is>
          <t>Revisit only through an explicit amendment ruling with tests.</t>
        </is>
      </c>
      <c r="G17" s="29" t="inlineStr">
        <is>
          <t>ACC policy integration</t>
        </is>
      </c>
    </row>
    <row r="18">
      <c r="A18" s="29" t="inlineStr">
        <is>
          <t>REJ-016</t>
        </is>
      </c>
      <c r="B18" s="29" t="inlineStr">
        <is>
          <t>SportSource Team Success Ranking as a directly reproducible OSF input</t>
        </is>
      </c>
      <c r="C18" s="29" t="inlineStr">
        <is>
          <t>REJECTED</t>
        </is>
      </c>
      <c r="D18" s="29" t="inlineStr">
        <is>
          <t>The uploaded policy names the vendor metric but does not disclose its formula, weights, or full output.</t>
        </is>
      </c>
      <c r="E18" s="29" t="inlineStr">
        <is>
          <t>OSF committee board remains the sanctioned in-universe terminal</t>
        </is>
      </c>
      <c r="F18" s="29" t="inlineStr">
        <is>
          <t>Do not claim reconstruction or equivalence.</t>
        </is>
      </c>
      <c r="G18" s="29" t="inlineStr">
        <is>
          <t>ACC policy PDF / companion analysis</t>
        </is>
      </c>
    </row>
    <row r="19">
      <c r="A19" s="29" t="inlineStr">
        <is>
          <t>REJ-017</t>
        </is>
      </c>
      <c r="B19" s="29" t="inlineStr">
        <is>
          <t>Commissioner random draw as OSF terminal tiebreak</t>
        </is>
      </c>
      <c r="C19" s="29" t="inlineStr">
        <is>
          <t>REJECTED</t>
        </is>
      </c>
      <c r="D19" s="29" t="inlineStr">
        <is>
          <t>Conflicts with deterministic-recompute governance and existing full committee ordering.</t>
        </is>
      </c>
      <c r="E19" s="29" t="inlineStr">
        <is>
          <t>R-CCG-01 committee-board terminal</t>
        </is>
      </c>
      <c r="F19" s="29" t="inlineStr">
        <is>
          <t>Do not adopt absent a future explicit rule reversal.</t>
        </is>
      </c>
      <c r="G19" s="29" t="inlineStr">
        <is>
          <t>ACC policy integration</t>
        </is>
      </c>
    </row>
    <row r="20">
      <c r="A20" s="29" t="inlineStr">
        <is>
          <t>REJ-018</t>
        </is>
      </c>
      <c r="B20" s="29" t="inlineStr">
        <is>
          <t>BWI proposal as an approved or implemented tiebreak metric</t>
        </is>
      </c>
      <c r="C20" s="29" t="inlineStr">
        <is>
          <t>NOT ADOPTED</t>
        </is>
      </c>
      <c r="D20" s="29" t="inlineStr">
        <is>
          <t>Name, weights, placement, implementation, and validation have not been approved.</t>
        </is>
      </c>
      <c r="E20" s="29" t="inlineStr">
        <is>
          <t>No BWI ruling exists</t>
        </is>
      </c>
      <c r="F20" s="29" t="inlineStr">
        <is>
          <t>Retain as research proposal only.</t>
        </is>
      </c>
      <c r="G20" s="29" t="inlineStr">
        <is>
          <t>Pasted text(170).txt</t>
        </is>
      </c>
    </row>
    <row r="21">
      <c r="A21" s="29" t="inlineStr">
        <is>
          <t>REJ-CANON-01</t>
        </is>
      </c>
      <c r="B21" s="29" t="inlineStr">
        <is>
          <t>Treat 00_CANON_MANIFEST.xlsx as automatically overriding later ratified files</t>
        </is>
      </c>
      <c r="C21" s="29" t="inlineStr">
        <is>
          <t>REJECTED</t>
        </is>
      </c>
      <c r="D21" s="29" t="inlineStr">
        <is>
          <t>It is a July 14 snapshot and contains stale current-authority labels.</t>
        </is>
      </c>
      <c r="E21" s="29" t="inlineStr"/>
      <c r="F21" s="29" t="inlineStr">
        <is>
          <t>Historical custody evidence only</t>
        </is>
      </c>
      <c r="G21" s="29" t="inlineStr">
        <is>
          <t>00_CANON_MANIFEST.xlsx</t>
        </is>
      </c>
    </row>
    <row r="22">
      <c r="A22" s="29" t="inlineStr">
        <is>
          <t>REJ-CANON-02</t>
        </is>
      </c>
      <c r="B22" s="29" t="inlineStr">
        <is>
          <t>2026_HARDENED_Run_v2_IH.csv as current MC of record</t>
        </is>
      </c>
      <c r="C22" s="29" t="inlineStr">
        <is>
          <t>REJECTED / RETIRED</t>
        </is>
      </c>
      <c r="D22" s="29" t="inlineStr">
        <is>
          <t>Pre-CCG output superseded by run v6.</t>
        </is>
      </c>
      <c r="E22" s="29" t="inlineStr"/>
      <c r="F22" s="29" t="inlineStr">
        <is>
          <t>DO-NOT-USE for current decisions</t>
        </is>
      </c>
      <c r="G22" s="29" t="inlineStr">
        <is>
          <t>00_CANON_MANIFEST.xlsx</t>
        </is>
      </c>
    </row>
    <row r="23">
      <c r="A23" s="29" t="inlineStr">
        <is>
          <t>REJ-CANON-03</t>
        </is>
      </c>
      <c r="B23" s="29" t="inlineStr">
        <is>
          <t>compute_mc_hardened.py as current live engine</t>
        </is>
      </c>
      <c r="C23" s="29" t="inlineStr">
        <is>
          <t>REJECTED / SUPERSEDED</t>
        </is>
      </c>
      <c r="D23" s="29" t="inlineStr">
        <is>
          <t>Predates final governed CCG logic and fail-loud fixes.</t>
        </is>
      </c>
      <c r="E23" s="29" t="inlineStr"/>
      <c r="F23" s="29" t="inlineStr">
        <is>
          <t>Archive only</t>
        </is>
      </c>
      <c r="G23" s="29" t="inlineStr">
        <is>
          <t>00_CANON_MANIFEST.xlsx</t>
        </is>
      </c>
    </row>
    <row r="24">
      <c r="A24" s="29" t="inlineStr">
        <is>
          <t>REJ-CANON-04</t>
        </is>
      </c>
      <c r="B24" s="29" t="inlineStr">
        <is>
          <t>Schedule LOCKED v3 (736 games) as current simulation schedule</t>
        </is>
      </c>
      <c r="C24" s="29" t="inlineStr">
        <is>
          <t>REJECTED / SUPERSEDED</t>
        </is>
      </c>
      <c r="D24" s="29" t="inlineStr">
        <is>
          <t>CCG rows and later G0003 venue correction require v5.</t>
        </is>
      </c>
      <c r="E24" s="29" t="inlineStr"/>
      <c r="F24" s="29" t="inlineStr">
        <is>
          <t>Historical schedule only</t>
        </is>
      </c>
      <c r="G24" s="29" t="inlineStr">
        <is>
          <t>00_CANON_MANIFEST.xlsx</t>
        </is>
      </c>
    </row>
    <row r="25">
      <c r="A25" s="29" t="inlineStr">
        <is>
          <t>REJ-CANON-05</t>
        </is>
      </c>
      <c r="B25" s="29" t="inlineStr">
        <is>
          <t>2025_Preseason_Elo_CARRY_v1.xlsx as an active forward prior</t>
        </is>
      </c>
      <c r="C25" s="29" t="inlineStr">
        <is>
          <t>REJECTED FOR CURRENT USE</t>
        </is>
      </c>
      <c r="D25" s="29" t="inlineStr">
        <is>
          <t>Manifest itself labels it unratified; no later approval was supplied.</t>
        </is>
      </c>
      <c r="E25" s="29" t="inlineStr"/>
      <c r="F25" s="29" t="inlineStr">
        <is>
          <t>Research/reference only</t>
        </is>
      </c>
      <c r="G25" s="29" t="inlineStr">
        <is>
          <t>00_CANON_MANIFEST.xlsx</t>
        </is>
      </c>
    </row>
  </sheetData>
  <autoFilter ref="A2:G25"/>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H14"/>
  <sheetViews>
    <sheetView showGridLines="0" workbookViewId="0">
      <pane ySplit="2" topLeftCell="A3" activePane="bottomLeft" state="frozen"/>
      <selection pane="bottomLeft" activeCell="A1" sqref="A1"/>
    </sheetView>
  </sheetViews>
  <sheetFormatPr baseColWidth="8" defaultRowHeight="15"/>
  <cols>
    <col width="16" customWidth="1" style="26" min="1" max="1"/>
    <col width="28" customWidth="1" style="26" min="2" max="2"/>
    <col width="20" customWidth="1" style="26" min="3" max="3"/>
    <col width="52" customWidth="1" style="26" min="4" max="4"/>
    <col width="34" customWidth="1" style="26" min="5" max="5"/>
    <col width="28" customWidth="1" style="26" min="6" max="6"/>
    <col width="58" customWidth="1" style="26" min="7" max="7"/>
    <col width="68" customWidth="1" style="26" min="8" max="8"/>
  </cols>
  <sheetData>
    <row r="1">
      <c r="A1" s="27" t="inlineStr">
        <is>
          <t>POWER CRUNCH SIMULATION v3.0 — COMEBACK CALIBRATION RESEARCH</t>
        </is>
      </c>
    </row>
    <row r="2">
      <c r="A2" s="28" t="inlineStr">
        <is>
          <t>research_id</t>
        </is>
      </c>
      <c r="B2" s="28" t="inlineStr">
        <is>
          <t>metric</t>
        </is>
      </c>
      <c r="C2" s="28" t="inlineStr">
        <is>
          <t>target</t>
        </is>
      </c>
      <c r="D2" s="28" t="inlineStr">
        <is>
          <t>acceptance_rule</t>
        </is>
      </c>
      <c r="E2" s="28" t="inlineStr">
        <is>
          <t>classification</t>
        </is>
      </c>
      <c r="F2" s="28" t="inlineStr">
        <is>
          <t>implementation_status</t>
        </is>
      </c>
      <c r="G2" s="28" t="inlineStr">
        <is>
          <t>authority_limits</t>
        </is>
      </c>
      <c r="H2" s="28" t="inlineStr">
        <is>
          <t>source_sha256</t>
        </is>
      </c>
    </row>
    <row r="3">
      <c r="A3" s="29" t="inlineStr">
        <is>
          <t>PCV3-CB-01</t>
        </is>
      </c>
      <c r="B3" s="29" t="inlineStr">
        <is>
          <t>bucket_1-3</t>
        </is>
      </c>
      <c r="C3" s="29" t="inlineStr">
        <is>
          <t>42.7</t>
        </is>
      </c>
      <c r="D3" s="29" t="inlineStr">
        <is>
          <t>two-sided binomial vs target, alpha=0.01, seeded batch n&gt;=700 deficit-games</t>
        </is>
      </c>
      <c r="E3" s="29" t="inlineStr">
        <is>
          <t>ACCEPTED AS RESEARCH INFORMATION</t>
        </is>
      </c>
      <c r="F3" s="32" t="inlineStr">
        <is>
          <t>NOT IMPLEMENTED / NOT VALIDATED</t>
        </is>
      </c>
      <c r="G3" s="29" t="inlineStr">
        <is>
          <t>Research-only calibration target; not observed performance or direct win-probability lookup.</t>
        </is>
      </c>
      <c r="H3" s="29" t="inlineStr">
        <is>
          <t>e2b4677c4a4790bb8f18f1b9a061d6569132a3cc481273d818d1e23b0e8b9108</t>
        </is>
      </c>
    </row>
    <row r="4">
      <c r="A4" s="29" t="inlineStr">
        <is>
          <t>PCV3-CB-02</t>
        </is>
      </c>
      <c r="B4" s="29" t="inlineStr">
        <is>
          <t>bucket_4-7</t>
        </is>
      </c>
      <c r="C4" s="29" t="inlineStr">
        <is>
          <t>27.9</t>
        </is>
      </c>
      <c r="D4" s="29" t="inlineStr">
        <is>
          <t>two-sided binomial vs target, alpha=0.01, seeded batch n&gt;=700 deficit-games</t>
        </is>
      </c>
      <c r="E4" s="29" t="inlineStr">
        <is>
          <t>ACCEPTED AS RESEARCH INFORMATION</t>
        </is>
      </c>
      <c r="F4" s="32" t="inlineStr">
        <is>
          <t>NOT IMPLEMENTED / NOT VALIDATED</t>
        </is>
      </c>
      <c r="G4" s="29" t="inlineStr">
        <is>
          <t>Research-only calibration target; not observed performance or direct win-probability lookup.</t>
        </is>
      </c>
      <c r="H4" s="29" t="inlineStr">
        <is>
          <t>e2b4677c4a4790bb8f18f1b9a061d6569132a3cc481273d818d1e23b0e8b9108</t>
        </is>
      </c>
    </row>
    <row r="5">
      <c r="A5" s="29" t="inlineStr">
        <is>
          <t>PCV3-CB-03</t>
        </is>
      </c>
      <c r="B5" s="29" t="inlineStr">
        <is>
          <t>bucket_8</t>
        </is>
      </c>
      <c r="C5" s="29" t="inlineStr">
        <is>
          <t>23.3</t>
        </is>
      </c>
      <c r="D5" s="29" t="inlineStr">
        <is>
          <t>two-sided binomial vs target, alpha=0.01, seeded batch n&gt;=700 deficit-games</t>
        </is>
      </c>
      <c r="E5" s="29" t="inlineStr">
        <is>
          <t>ACCEPTED AS RESEARCH INFORMATION</t>
        </is>
      </c>
      <c r="F5" s="32" t="inlineStr">
        <is>
          <t>NOT IMPLEMENTED / NOT VALIDATED</t>
        </is>
      </c>
      <c r="G5" s="29" t="inlineStr">
        <is>
          <t>Research-only calibration target; not observed performance or direct win-probability lookup.</t>
        </is>
      </c>
      <c r="H5" s="29" t="inlineStr">
        <is>
          <t>e2b4677c4a4790bb8f18f1b9a061d6569132a3cc481273d818d1e23b0e8b9108</t>
        </is>
      </c>
    </row>
    <row r="6">
      <c r="A6" s="29" t="inlineStr">
        <is>
          <t>PCV3-CB-04</t>
        </is>
      </c>
      <c r="B6" s="29" t="inlineStr">
        <is>
          <t>bucket_9-11</t>
        </is>
      </c>
      <c r="C6" s="29" t="inlineStr">
        <is>
          <t>14.9</t>
        </is>
      </c>
      <c r="D6" s="29" t="inlineStr">
        <is>
          <t>two-sided binomial vs target, alpha=0.01, seeded batch n&gt;=700 deficit-games</t>
        </is>
      </c>
      <c r="E6" s="29" t="inlineStr">
        <is>
          <t>ACCEPTED AS RESEARCH INFORMATION</t>
        </is>
      </c>
      <c r="F6" s="32" t="inlineStr">
        <is>
          <t>NOT IMPLEMENTED / NOT VALIDATED</t>
        </is>
      </c>
      <c r="G6" s="29" t="inlineStr">
        <is>
          <t>Research-only calibration target; not observed performance or direct win-probability lookup.</t>
        </is>
      </c>
      <c r="H6" s="29" t="inlineStr">
        <is>
          <t>e2b4677c4a4790bb8f18f1b9a061d6569132a3cc481273d818d1e23b0e8b9108</t>
        </is>
      </c>
    </row>
    <row r="7">
      <c r="A7" s="29" t="inlineStr">
        <is>
          <t>PCV3-CB-05</t>
        </is>
      </c>
      <c r="B7" s="29" t="inlineStr">
        <is>
          <t>bucket_12-16</t>
        </is>
      </c>
      <c r="C7" s="29" t="inlineStr">
        <is>
          <t>8.0</t>
        </is>
      </c>
      <c r="D7" s="29" t="inlineStr">
        <is>
          <t>two-sided binomial vs target, alpha=0.01, seeded batch n&gt;=700 deficit-games</t>
        </is>
      </c>
      <c r="E7" s="29" t="inlineStr">
        <is>
          <t>ACCEPTED AS RESEARCH INFORMATION</t>
        </is>
      </c>
      <c r="F7" s="32" t="inlineStr">
        <is>
          <t>NOT IMPLEMENTED / NOT VALIDATED</t>
        </is>
      </c>
      <c r="G7" s="29" t="inlineStr">
        <is>
          <t>Research-only calibration target; not observed performance or direct win-probability lookup.</t>
        </is>
      </c>
      <c r="H7" s="29" t="inlineStr">
        <is>
          <t>e2b4677c4a4790bb8f18f1b9a061d6569132a3cc481273d818d1e23b0e8b9108</t>
        </is>
      </c>
    </row>
    <row r="8">
      <c r="A8" s="29" t="inlineStr">
        <is>
          <t>PCV3-CB-06</t>
        </is>
      </c>
      <c r="B8" s="29" t="inlineStr">
        <is>
          <t>bucket_17+</t>
        </is>
      </c>
      <c r="C8" s="29" t="inlineStr">
        <is>
          <t>1.3</t>
        </is>
      </c>
      <c r="D8" s="29" t="inlineStr">
        <is>
          <t>two-sided binomial vs target, alpha=0.01, seeded batch n&gt;=700 deficit-games</t>
        </is>
      </c>
      <c r="E8" s="29" t="inlineStr">
        <is>
          <t>ACCEPTED AS RESEARCH INFORMATION</t>
        </is>
      </c>
      <c r="F8" s="32" t="inlineStr">
        <is>
          <t>NOT IMPLEMENTED / NOT VALIDATED</t>
        </is>
      </c>
      <c r="G8" s="29" t="inlineStr">
        <is>
          <t>Research-only calibration target; not observed performance or direct win-probability lookup.</t>
        </is>
      </c>
      <c r="H8" s="29" t="inlineStr">
        <is>
          <t>e2b4677c4a4790bb8f18f1b9a061d6569132a3cc481273d818d1e23b0e8b9108</t>
        </is>
      </c>
    </row>
    <row r="9">
      <c r="A9" s="29" t="inlineStr">
        <is>
          <t>PCV3-CB-07</t>
        </is>
      </c>
      <c r="B9" s="29" t="inlineStr">
        <is>
          <t>bucket_ALL</t>
        </is>
      </c>
      <c r="C9" s="29" t="inlineStr">
        <is>
          <t>15.1</t>
        </is>
      </c>
      <c r="D9" s="29" t="inlineStr">
        <is>
          <t>two-sided binomial vs target, alpha=0.01, seeded batch n&gt;=700 deficit-games</t>
        </is>
      </c>
      <c r="E9" s="29" t="inlineStr">
        <is>
          <t>ACCEPTED AS RESEARCH INFORMATION</t>
        </is>
      </c>
      <c r="F9" s="32" t="inlineStr">
        <is>
          <t>NOT IMPLEMENTED / NOT VALIDATED</t>
        </is>
      </c>
      <c r="G9" s="29" t="inlineStr">
        <is>
          <t>Research-only calibration target; not observed performance or direct win-probability lookup.</t>
        </is>
      </c>
      <c r="H9" s="29" t="inlineStr">
        <is>
          <t>e2b4677c4a4790bb8f18f1b9a061d6569132a3cc481273d818d1e23b0e8b9108</t>
        </is>
      </c>
    </row>
    <row r="10">
      <c r="A10" s="29" t="inlineStr">
        <is>
          <t>PCV3-CB-08</t>
        </is>
      </c>
      <c r="B10" s="29" t="inlineStr">
        <is>
          <t>invariant_monotone</t>
        </is>
      </c>
      <c r="C10" s="29" t="inlineStr">
        <is>
          <t>P(8) &gt; P(9-11)</t>
        </is>
      </c>
      <c r="D10" s="29" t="inlineStr">
        <is>
          <t>hard fail on inversion</t>
        </is>
      </c>
      <c r="E10" s="29" t="inlineStr">
        <is>
          <t>ACCEPTED AS RESEARCH INFORMATION</t>
        </is>
      </c>
      <c r="F10" s="32" t="inlineStr">
        <is>
          <t>NOT IMPLEMENTED / NOT VALIDATED</t>
        </is>
      </c>
      <c r="G10" s="29" t="inlineStr">
        <is>
          <t>Research-only calibration target; not observed performance or direct win-probability lookup.</t>
        </is>
      </c>
      <c r="H10" s="29" t="inlineStr">
        <is>
          <t>e2b4677c4a4790bb8f18f1b9a061d6569132a3cc481273d818d1e23b0e8b9108</t>
        </is>
      </c>
    </row>
    <row r="11">
      <c r="A11" s="29" t="inlineStr">
        <is>
          <t>PCV3-CB-09</t>
        </is>
      </c>
      <c r="B11" s="29" t="inlineStr">
        <is>
          <t>invariant_ot_rate</t>
        </is>
      </c>
      <c r="C11" s="29" t="inlineStr">
        <is>
          <t>3.5-6.0%</t>
        </is>
      </c>
      <c r="D11" s="29" t="inlineStr">
        <is>
          <t>hard band</t>
        </is>
      </c>
      <c r="E11" s="29" t="inlineStr">
        <is>
          <t>ACCEPTED AS RESEARCH INFORMATION</t>
        </is>
      </c>
      <c r="F11" s="32" t="inlineStr">
        <is>
          <t>NOT IMPLEMENTED / NOT VALIDATED</t>
        </is>
      </c>
      <c r="G11" s="29" t="inlineStr">
        <is>
          <t>Research-only calibration target; not observed performance or direct win-probability lookup.</t>
        </is>
      </c>
      <c r="H11" s="29" t="inlineStr">
        <is>
          <t>e2b4677c4a4790bb8f18f1b9a061d6569132a3cc481273d818d1e23b0e8b9108</t>
        </is>
      </c>
    </row>
    <row r="12">
      <c r="A12" s="29" t="inlineStr">
        <is>
          <t>PCV3-CB-10</t>
        </is>
      </c>
      <c r="B12" s="29" t="inlineStr">
        <is>
          <t>invariant_within_game_sigma</t>
        </is>
      </c>
      <c r="C12" s="29" t="inlineStr">
        <is>
          <t>15.5-17.0</t>
        </is>
      </c>
      <c r="D12" s="29" t="inlineStr">
        <is>
          <t>drift-removed bridge-corrected increments</t>
        </is>
      </c>
      <c r="E12" s="29" t="inlineStr">
        <is>
          <t>ACCEPTED AS RESEARCH INFORMATION</t>
        </is>
      </c>
      <c r="F12" s="32" t="inlineStr">
        <is>
          <t>NOT IMPLEMENTED / NOT VALIDATED</t>
        </is>
      </c>
      <c r="G12" s="29" t="inlineStr">
        <is>
          <t>Research-only calibration target; not observed performance or direct win-probability lookup.</t>
        </is>
      </c>
      <c r="H12" s="29" t="inlineStr">
        <is>
          <t>e2b4677c4a4790bb8f18f1b9a061d6569132a3cc481273d818d1e23b0e8b9108</t>
        </is>
      </c>
    </row>
    <row r="13">
      <c r="A13" s="29" t="inlineStr">
        <is>
          <t>PCV3-CB-11</t>
        </is>
      </c>
      <c r="B13" s="29" t="inlineStr">
        <is>
          <t>invariant_deep_floor</t>
        </is>
      </c>
      <c r="C13" s="29" t="inlineStr">
        <is>
          <t>17+ &gt;= 0.5%</t>
        </is>
      </c>
      <c r="D13" s="29" t="inlineStr">
        <is>
          <t>no hard zeros absent kneel-out</t>
        </is>
      </c>
      <c r="E13" s="29" t="inlineStr">
        <is>
          <t>ACCEPTED AS RESEARCH INFORMATION</t>
        </is>
      </c>
      <c r="F13" s="32" t="inlineStr">
        <is>
          <t>NOT IMPLEMENTED / NOT VALIDATED</t>
        </is>
      </c>
      <c r="G13" s="29" t="inlineStr">
        <is>
          <t>Research-only calibration target; not observed performance or direct win-probability lookup.</t>
        </is>
      </c>
      <c r="H13" s="29" t="inlineStr">
        <is>
          <t>e2b4677c4a4790bb8f18f1b9a061d6569132a3cc481273d818d1e23b0e8b9108</t>
        </is>
      </c>
    </row>
    <row r="14">
      <c r="A14" s="29" t="inlineStr">
        <is>
          <t>PCV3-CB-12</t>
        </is>
      </c>
      <c r="B14" s="29" t="inlineStr">
        <is>
          <t>board_version</t>
        </is>
      </c>
      <c r="C14" s="29" t="inlineStr">
        <is>
          <t>BLEND_v1.0</t>
        </is>
      </c>
      <c r="D14" s="29" t="inlineStr">
        <is>
          <t>recompute to v1.1 on real-2025 ingestion</t>
        </is>
      </c>
      <c r="E14" s="29" t="inlineStr">
        <is>
          <t>REFERENCED / NOT ACCEPTED AS AUTHORITY</t>
        </is>
      </c>
      <c r="F14" s="32" t="inlineStr">
        <is>
          <t>NOT ADOPTED</t>
        </is>
      </c>
      <c r="G14" s="29" t="inlineStr">
        <is>
          <t>BLEND_v1.0 and automatic v1.1 recompute are not accepted as board authority or supersession.</t>
        </is>
      </c>
      <c r="H14" s="29" t="inlineStr">
        <is>
          <t>e2b4677c4a4790bb8f18f1b9a061d6569132a3cc481273d818d1e23b0e8b9108</t>
        </is>
      </c>
    </row>
  </sheetData>
  <autoFilter ref="A2:H14"/>
  <mergeCells count="1">
    <mergeCell ref="A1:H1"/>
  </mergeCells>
  <pageMargins left="0.75" right="0.75" top="1" bottom="1" header="0.5" footer="0.5"/>
</worksheet>
</file>

<file path=xl/worksheets/sheet19.xml><?xml version="1.0" encoding="utf-8"?>
<worksheet xmlns="http://schemas.openxmlformats.org/spreadsheetml/2006/main">
  <sheetPr>
    <tabColor rgb="004472C4"/>
    <outlinePr summaryBelow="1" summaryRight="1"/>
    <pageSetUpPr/>
  </sheetPr>
  <dimension ref="A1:H14"/>
  <sheetViews>
    <sheetView showGridLines="0" workbookViewId="0">
      <pane ySplit="2" topLeftCell="A3" activePane="bottomLeft" state="frozen"/>
      <selection pane="bottomLeft" activeCell="A1" sqref="A1"/>
    </sheetView>
  </sheetViews>
  <sheetFormatPr baseColWidth="8" defaultRowHeight="15"/>
  <cols>
    <col width="15" customWidth="1" style="26" min="1" max="1"/>
    <col width="24" customWidth="1" style="26" min="2" max="2"/>
    <col width="48" customWidth="1" style="26" min="3" max="3"/>
    <col width="48" customWidth="1" style="26" min="4" max="4"/>
    <col width="24" customWidth="1" style="26" min="5" max="5"/>
    <col width="28" customWidth="1" style="26" min="6" max="6"/>
    <col width="32" customWidth="1" style="26" min="7" max="7"/>
    <col width="44" customWidth="1" style="26" min="8" max="8"/>
  </cols>
  <sheetData>
    <row r="1" ht="24" customHeight="1" s="26">
      <c r="A1" s="71" t="inlineStr">
        <is>
          <t>ACC FOOTBALL TIEBREAKER POLICY — EXTERNAL REFERENCE AND OSF IMPACT</t>
        </is>
      </c>
    </row>
    <row r="2" ht="34" customHeight="1" s="26">
      <c r="A2" s="72" t="inlineStr">
        <is>
          <t>item_id</t>
        </is>
      </c>
      <c r="B2" s="72" t="inlineStr">
        <is>
          <t>category</t>
        </is>
      </c>
      <c r="C2" s="72" t="inlineStr">
        <is>
          <t>ACC policy rule</t>
        </is>
      </c>
      <c r="D2" s="72" t="inlineStr">
        <is>
          <t>OSF current treatment</t>
        </is>
      </c>
      <c r="E2" s="72" t="inlineStr">
        <is>
          <t>relationship</t>
        </is>
      </c>
      <c r="F2" s="72" t="inlineStr">
        <is>
          <t>governance status</t>
        </is>
      </c>
      <c r="G2" s="72" t="inlineStr">
        <is>
          <t>source</t>
        </is>
      </c>
      <c r="H2" s="72" t="inlineStr">
        <is>
          <t>notes</t>
        </is>
      </c>
    </row>
    <row r="3">
      <c r="A3" s="29" t="inlineStr">
        <is>
          <t>ACC-EXT-01</t>
        </is>
      </c>
      <c r="B3" s="29" t="inlineStr">
        <is>
          <t>Policy scope</t>
        </is>
      </c>
      <c r="C3" s="29" t="inlineStr">
        <is>
          <t>ACC Championship Game between the Top Two Teams.</t>
        </is>
      </c>
      <c r="D3" s="29" t="inlineStr">
        <is>
          <t>Seven OSF CCGs are first-class W15 game rows; ACC selects two participants.</t>
        </is>
      </c>
      <c r="E3" s="29" t="inlineStr">
        <is>
          <t>COMPATIBLE</t>
        </is>
      </c>
      <c r="F3" s="66" t="inlineStr">
        <is>
          <t>EXTERNAL REFERENCE</t>
        </is>
      </c>
      <c r="G3" s="29" t="inlineStr">
        <is>
          <t>ACC policy PDF p.1</t>
        </is>
      </c>
      <c r="H3" s="29" t="inlineStr">
        <is>
          <t>Real ACC policy only.</t>
        </is>
      </c>
    </row>
    <row r="4">
      <c r="A4" s="29" t="inlineStr">
        <is>
          <t>ACC-EXT-02</t>
        </is>
      </c>
      <c r="B4" s="29" t="inlineStr">
        <is>
          <t>Primary selection</t>
        </is>
      </c>
      <c r="C4" s="29" t="inlineStr">
        <is>
          <t>Highest percentage of conference wins.</t>
        </is>
      </c>
      <c r="D4" s="29" t="inlineStr">
        <is>
          <t>R-CCG-01 uses conference win percentage.</t>
        </is>
      </c>
      <c r="E4" s="29" t="inlineStr">
        <is>
          <t>MATCH</t>
        </is>
      </c>
      <c r="F4" s="65" t="inlineStr">
        <is>
          <t>CURRENT OSF RULE UNCHANGED</t>
        </is>
      </c>
      <c r="G4" s="29" t="inlineStr">
        <is>
          <t>ACC policy PDF p.1 / R-CCG-01</t>
        </is>
      </c>
      <c r="H4" s="29" t="inlineStr">
        <is>
          <t>No change required.</t>
        </is>
      </c>
    </row>
    <row r="5">
      <c r="A5" s="29" t="inlineStr">
        <is>
          <t>ACC-EXT-03</t>
        </is>
      </c>
      <c r="B5" s="29" t="inlineStr">
        <is>
          <t>Alternate game-count tied set</t>
        </is>
      </c>
      <c r="C5" s="29" t="inlineStr">
        <is>
          <t>Teams with alternate conference-game counts join tied set when they have the same number of conference wins OR same number of conference losses as the top-win-percentage team(s).</t>
        </is>
      </c>
      <c r="D5" s="29" t="inlineStr">
        <is>
          <t>OSF currently defines ties by equal conference win percentage.</t>
        </is>
      </c>
      <c r="E5" s="29" t="inlineStr">
        <is>
          <t>MATERIAL GAP</t>
        </is>
      </c>
      <c r="F5" s="67" t="inlineStr">
        <is>
          <t>OPEN — REQUIRES RULING</t>
        </is>
      </c>
      <c r="G5" s="29" t="inlineStr">
        <is>
          <t>ACC policy PDF p.1</t>
        </is>
      </c>
      <c r="H5" s="29" t="inlineStr">
        <is>
          <t>Could change participant selection when conference game counts differ.</t>
        </is>
      </c>
    </row>
    <row r="6">
      <c r="A6" s="29" t="inlineStr">
        <is>
          <t>ACC-EXT-04</t>
        </is>
      </c>
      <c r="B6" s="29" t="inlineStr">
        <is>
          <t>Eligibility gate</t>
        </is>
      </c>
      <c r="C6" s="29" t="inlineStr">
        <is>
          <t>Team must be postseason-eligible; games against ineligible teams still count.</t>
        </is>
      </c>
      <c r="D6" s="29" t="inlineStr">
        <is>
          <t>No general postseason-ineligibility model is currently governed for synthetic 2026.</t>
        </is>
      </c>
      <c r="E6" s="29" t="inlineStr">
        <is>
          <t>MISSING / CURRENTLY NO-OP</t>
        </is>
      </c>
      <c r="F6" s="67" t="inlineStr">
        <is>
          <t>RESEARCH / FUTURE RULE</t>
        </is>
      </c>
      <c r="G6" s="29" t="inlineStr">
        <is>
          <t>ACC policy PDF p.1</t>
        </is>
      </c>
      <c r="H6" s="29" t="inlineStr">
        <is>
          <t>Do not fabricate sanctions or eligibility states.</t>
        </is>
      </c>
    </row>
    <row r="7">
      <c r="A7" s="29" t="inlineStr">
        <is>
          <t>ACC-EXT-05</t>
        </is>
      </c>
      <c r="B7" s="29" t="inlineStr">
        <is>
          <t>Two-team tie step 1</t>
        </is>
      </c>
      <c r="C7" s="29" t="inlineStr">
        <is>
          <t>Head-to-head conference result.</t>
        </is>
      </c>
      <c r="D7" s="29" t="inlineStr">
        <is>
          <t>R-CCG-01 TB-1 head-to-head.</t>
        </is>
      </c>
      <c r="E7" s="29" t="inlineStr">
        <is>
          <t>MATCH</t>
        </is>
      </c>
      <c r="F7" s="65" t="inlineStr">
        <is>
          <t>CURRENT OSF RULE UNCHANGED</t>
        </is>
      </c>
      <c r="G7" s="29" t="inlineStr">
        <is>
          <t>ACC policy PDF p.1</t>
        </is>
      </c>
      <c r="H7" s="29" t="inlineStr">
        <is>
          <t>No change required.</t>
        </is>
      </c>
    </row>
    <row r="8">
      <c r="A8" s="29" t="inlineStr">
        <is>
          <t>ACC-EXT-06</t>
        </is>
      </c>
      <c r="B8" s="29" t="inlineStr">
        <is>
          <t>Two-team tie step 2</t>
        </is>
      </c>
      <c r="C8" s="29" t="inlineStr">
        <is>
          <t>Better SportSource Analytics Team Success Ranking after regular season.</t>
        </is>
      </c>
      <c r="D8" s="29" t="inlineStr">
        <is>
          <t>OSF uses mini round-robin then the in-universe committee board.</t>
        </is>
      </c>
      <c r="E8" s="29" t="inlineStr">
        <is>
          <t>INTENTIONAL SUBSTITUTION</t>
        </is>
      </c>
      <c r="F8" s="70" t="inlineStr">
        <is>
          <t>EXTERNAL VENDOR NOT ADOPTED</t>
        </is>
      </c>
      <c r="G8" s="29" t="inlineStr">
        <is>
          <t>ACC policy PDF p.1 / OSF doctrine</t>
        </is>
      </c>
      <c r="H8" s="29" t="inlineStr">
        <is>
          <t>SportSource formula is not contained in the policy and is not reproducible from this source.</t>
        </is>
      </c>
    </row>
    <row r="9">
      <c r="A9" s="29" t="inlineStr">
        <is>
          <t>ACC-EXT-07</t>
        </is>
      </c>
      <c r="B9" s="29" t="inlineStr">
        <is>
          <t>Two-team terminal</t>
        </is>
      </c>
      <c r="C9" s="29" t="inlineStr">
        <is>
          <t>Commissioner or designee draw.</t>
        </is>
      </c>
      <c r="D9" s="29" t="inlineStr">
        <is>
          <t>OSF committee board is terminal and deterministic.</t>
        </is>
      </c>
      <c r="E9" s="29" t="inlineStr">
        <is>
          <t>INTENTIONAL DIVERGENCE</t>
        </is>
      </c>
      <c r="F9" s="65" t="inlineStr">
        <is>
          <t>CURRENT OSF RULE UNCHANGED</t>
        </is>
      </c>
      <c r="G9" s="29" t="inlineStr">
        <is>
          <t>ACC policy PDF p.2 / R-CCG-01</t>
        </is>
      </c>
      <c r="H9" s="29" t="inlineStr">
        <is>
          <t>OSF does not adopt random draw.</t>
        </is>
      </c>
    </row>
    <row r="10">
      <c r="A10" s="29" t="inlineStr">
        <is>
          <t>ACC-EXT-08</t>
        </is>
      </c>
      <c r="B10" s="29" t="inlineStr">
        <is>
          <t>Three-plus common opponents</t>
        </is>
      </c>
      <c r="C10" s="29" t="inlineStr">
        <is>
          <t>Best record among tied teams, then SportSource ranking, then draw; restart tied-team definition as needed.</t>
        </is>
      </c>
      <c r="D10" s="29" t="inlineStr">
        <is>
          <t>OSF applies mini round-robin and committee-board terminal without formal restart cascade.</t>
        </is>
      </c>
      <c r="E10" s="29" t="inlineStr">
        <is>
          <t>PARTIAL MATCH / GAP</t>
        </is>
      </c>
      <c r="F10" s="67" t="inlineStr">
        <is>
          <t>OPEN — REQUIRES RULING</t>
        </is>
      </c>
      <c r="G10" s="29" t="inlineStr">
        <is>
          <t>ACC policy PDF p.2</t>
        </is>
      </c>
      <c r="H10" s="29" t="inlineStr">
        <is>
          <t>Restart semantics need explicit tests before adoption.</t>
        </is>
      </c>
    </row>
    <row r="11">
      <c r="A11" s="29" t="inlineStr">
        <is>
          <t>ACC-EXT-09</t>
        </is>
      </c>
      <c r="B11" s="29" t="inlineStr">
        <is>
          <t>Three-plus non-common opponents</t>
        </is>
      </c>
      <c r="C11" s="29" t="inlineStr">
        <is>
          <t>Sweep winner advances; sweep loser removed; then SportSource; then draw; restart after partial resolution.</t>
        </is>
      </c>
      <c r="D11" s="29" t="inlineStr">
        <is>
          <t>OSF H2H/mini-round-robin logic does not encode the ACC sweep-winner/sweep-loser branch or restart cascade explicitly.</t>
        </is>
      </c>
      <c r="E11" s="29" t="inlineStr">
        <is>
          <t>MATERIAL DIVERGENCE</t>
        </is>
      </c>
      <c r="F11" s="67" t="inlineStr">
        <is>
          <t>OPEN — REQUIRES RULING</t>
        </is>
      </c>
      <c r="G11" s="29" t="inlineStr">
        <is>
          <t>ACC policy PDF p.2</t>
        </is>
      </c>
      <c r="H11" s="29" t="inlineStr">
        <is>
          <t>Could be outcome-divergent in multi-team ties.</t>
        </is>
      </c>
    </row>
    <row r="12">
      <c r="A12" s="29" t="inlineStr">
        <is>
          <t>ACC-EXT-10</t>
        </is>
      </c>
      <c r="B12" s="29" t="inlineStr">
        <is>
          <t>External metric naming</t>
        </is>
      </c>
      <c r="C12" s="29" t="inlineStr">
        <is>
          <t>Policy names Team Success Ranking provided by SportSource Analytics.</t>
        </is>
      </c>
      <c r="D12" s="29" t="inlineStr">
        <is>
          <t>No external vendor ranking is a canonical OSF input.</t>
        </is>
      </c>
      <c r="E12" s="29" t="inlineStr">
        <is>
          <t>REFERENCE ONLY</t>
        </is>
      </c>
      <c r="F12" s="70" t="inlineStr">
        <is>
          <t>DO-NOT-CLAIM-REPRODUCTION</t>
        </is>
      </c>
      <c r="G12" s="29" t="inlineStr">
        <is>
          <t>ACC policy PDF pp.1-2</t>
        </is>
      </c>
      <c r="H12" s="29" t="inlineStr">
        <is>
          <t>Policy does not disclose variables, weights, or formula.</t>
        </is>
      </c>
    </row>
    <row r="13">
      <c r="A13" s="29" t="inlineStr">
        <is>
          <t>ACC-EXT-11</t>
        </is>
      </c>
      <c r="B13" s="29" t="inlineStr">
        <is>
          <t>Standings implementation consistency</t>
        </is>
      </c>
      <c r="C13" s="29" t="inlineStr">
        <is>
          <t>ACC applies one policy to identify championship participants.</t>
        </is>
      </c>
      <c r="D13" s="29" t="inlineStr">
        <is>
          <t>Prior research reports compute_standings.py uses conf% -&gt; H2H -&gt; overall% -&gt; point differential, differing from R-CCG-01.</t>
        </is>
      </c>
      <c r="E13" s="29" t="inlineStr">
        <is>
          <t>INTERNAL SINGLE-SOURCE RISK</t>
        </is>
      </c>
      <c r="F13" s="67" t="inlineStr">
        <is>
          <t>OPEN — VERIFY CODE AND RULE</t>
        </is>
      </c>
      <c r="G13" s="29" t="inlineStr">
        <is>
          <t>Companion research text</t>
        </is>
      </c>
      <c r="H13" s="29" t="inlineStr">
        <is>
          <t>Treat as a research finding until direct code audit confirms current implementation.</t>
        </is>
      </c>
    </row>
    <row r="14">
      <c r="A14" s="29" t="inlineStr">
        <is>
          <t>ACC-EXT-12</t>
        </is>
      </c>
      <c r="B14" s="29" t="inlineStr">
        <is>
          <t>Proposed BWI</t>
        </is>
      </c>
      <c r="C14" s="29" t="inlineStr">
        <is>
          <t>Companion text proposes an OSF-original Body-of-Work Index using z(SRS capped ±24) and z(SoR-B).</t>
        </is>
      </c>
      <c r="D14" s="29" t="inlineStr">
        <is>
          <t>No BWI ruling has been approved or implemented.</t>
        </is>
      </c>
      <c r="E14" s="29" t="inlineStr">
        <is>
          <t>PROPOSAL ONLY</t>
        </is>
      </c>
      <c r="F14" s="70" t="inlineStr">
        <is>
          <t>NOT ADOPTED</t>
        </is>
      </c>
      <c r="G14" s="29" t="inlineStr">
        <is>
          <t>Pasted text(170).txt</t>
        </is>
      </c>
      <c r="H14" s="29" t="inlineStr">
        <is>
          <t>Requires approval of name, weights, chain placement, implementation, and validation.</t>
        </is>
      </c>
    </row>
  </sheetData>
  <autoFilter ref="A2:H14"/>
  <mergeCells count="1">
    <mergeCell ref="A1:H1"/>
  </mergeCells>
  <pageMargins left="0.75" right="0.75" top="1" bottom="1" header="0.5" footer="0.5"/>
</worksheet>
</file>

<file path=xl/worksheets/sheet20.xml><?xml version="1.0" encoding="utf-8"?>
<worksheet xmlns="http://schemas.openxmlformats.org/spreadsheetml/2006/main">
  <sheetPr filterMode="0">
    <tabColor rgb="00A5A5A5"/>
    <outlinePr summaryBelow="1" summaryRight="1"/>
    <pageSetUpPr fitToPage="1"/>
  </sheetPr>
  <dimension ref="A1:C23"/>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0" customWidth="1" style="39" min="1" max="1"/>
    <col width="60" customWidth="1" style="39" min="2" max="2"/>
    <col width="40" customWidth="1" style="39" min="3" max="3"/>
  </cols>
  <sheetData>
    <row r="1" ht="16.15" customHeight="1" s="26">
      <c r="A1" s="40" t="inlineStr">
        <is>
          <t>CFB_SIM — MODEL PARAMETER REGISTER  ·  SOURCE OF TRUTH</t>
        </is>
      </c>
      <c r="B1" s="41" t="n"/>
      <c r="C1" s="41" t="n"/>
    </row>
    <row r="3" ht="15" customHeight="1" s="26">
      <c r="A3" s="42" t="inlineStr">
        <is>
          <t>File</t>
        </is>
      </c>
      <c r="B3" s="43" t="inlineStr">
        <is>
          <t>Model_Parameters.xlsx</t>
        </is>
      </c>
    </row>
    <row r="4" ht="15" customHeight="1" s="26">
      <c r="A4" s="42" t="inlineStr">
        <is>
          <t>Version</t>
        </is>
      </c>
      <c r="B4" s="43" t="inlineStr">
        <is>
          <t>v1.0</t>
        </is>
      </c>
    </row>
    <row r="5" ht="15" customHeight="1" s="26">
      <c r="A5" s="42" t="inlineStr">
        <is>
          <t>Date issued</t>
        </is>
      </c>
      <c r="B5" s="43" t="inlineStr">
        <is>
          <t>2026-07-22</t>
        </is>
      </c>
    </row>
    <row r="6" ht="15" customHeight="1" s="26">
      <c r="A6" s="42" t="inlineStr">
        <is>
          <t>Project</t>
        </is>
      </c>
      <c r="B6" s="43" t="inlineStr">
        <is>
          <t>Synthetic NCAA FBS Simulation (2026 season)</t>
        </is>
      </c>
    </row>
    <row r="7" ht="15" customHeight="1" s="26">
      <c r="A7" s="42" t="inlineStr">
        <is>
          <t>Owner</t>
        </is>
      </c>
      <c r="B7" s="43" t="inlineStr">
        <is>
          <t>D. G. Baxter</t>
        </is>
      </c>
    </row>
    <row r="8" ht="57.45" customHeight="1" s="26">
      <c r="A8" s="42" t="inlineStr">
        <is>
          <t>Governing doctrine</t>
        </is>
      </c>
      <c r="B8" s="43" t="inlineStr">
        <is>
          <t>This file is the canonical parameter register for the simulation stack. Engine constants belong here, not hardcoded in module source. Target state: cfb_sim.py / season.py load parameters from this file (or a JSON export of it) at startup; any constant in code that disagrees with this register is a defect.</t>
        </is>
      </c>
    </row>
    <row r="9" ht="35.05" customHeight="1" s="26">
      <c r="A9" s="42" t="inlineStr">
        <is>
          <t>Determinism contract</t>
        </is>
      </c>
      <c r="B9" s="43" t="inlineStr">
        <is>
          <t>Same (home, away, seed) -&gt; byte-identical GameResult. Per-matchup seeds via FNV hash in slate/week modes. Any parameter change is a version bump here and a recalibration run.</t>
        </is>
      </c>
    </row>
    <row r="10" ht="23.85" customHeight="1" s="26">
      <c r="A10" s="42" t="inlineStr">
        <is>
          <t>Data-flow rule</t>
        </is>
      </c>
      <c r="B10" s="43" t="inlineStr">
        <is>
          <t>One-way flow. LLM/narrative layers consume engine output; nothing narrative writes back into parameters, ratings, or committee inputs.</t>
        </is>
      </c>
    </row>
    <row r="12" ht="15" customHeight="1" s="26">
      <c r="A12" s="44" t="inlineStr">
        <is>
          <t>STATUS LEGEND</t>
        </is>
      </c>
      <c r="B12" s="45" t="n"/>
      <c r="C12" s="45" t="n"/>
    </row>
    <row r="13" ht="23.85" customHeight="1" s="26">
      <c r="A13" s="42" t="inlineStr">
        <is>
          <t>VERIFIED</t>
        </is>
      </c>
      <c r="B13" s="43" t="inlineStr">
        <is>
          <t>Value confirmed against chat-history transcripts of the Jul 13-14, 2026 engine build + calibration session, or the Jul 14 rules-research session.</t>
        </is>
      </c>
    </row>
    <row r="14" ht="46.25" customHeight="1" s="26">
      <c r="A14" s="46" t="inlineStr">
        <is>
          <t>PLACEHOLDER</t>
        </is>
      </c>
      <c r="B14" s="43" t="inlineStr">
        <is>
          <t>Constant exists in cfb_sim.py but its value is not recoverable from chat history. Yellow-filled cell. Extract from cfb_sim.py and replace before this file is wired in as the load source. NO VALUE IN A YELLOW CELL IS REAL.</t>
        </is>
      </c>
    </row>
    <row r="15" ht="23.85" customHeight="1" s="26">
      <c r="A15" s="42" t="inlineStr">
        <is>
          <t>UNPATCHED</t>
        </is>
      </c>
      <c r="B15" s="43" t="inlineStr">
        <is>
          <t>Committee-engine parameters carried as documented in the original spec; the engine itself failed pressure-test (Jul 3) and these values are pre-fix.</t>
        </is>
      </c>
    </row>
    <row r="17" ht="15" customHeight="1" s="26">
      <c r="A17" s="44" t="inlineStr">
        <is>
          <t>CELL COLOR CONVENTION</t>
        </is>
      </c>
      <c r="B17" s="45" t="n"/>
      <c r="C17" s="45" t="n"/>
    </row>
    <row r="18" ht="15" customHeight="1" s="26">
      <c r="A18" s="42" t="inlineStr">
        <is>
          <t>Blue text</t>
        </is>
      </c>
      <c r="B18" s="47" t="inlineStr">
        <is>
          <t>Hardcoded input / lever — edit here</t>
        </is>
      </c>
    </row>
    <row r="19" ht="15" customHeight="1" s="26">
      <c r="A19" s="42" t="inlineStr">
        <is>
          <t>Black text</t>
        </is>
      </c>
      <c r="B19" s="47" t="inlineStr">
        <is>
          <t>Formula or fixed label — do not overwrite</t>
        </is>
      </c>
    </row>
    <row r="20" ht="15" customHeight="1" s="26">
      <c r="A20" s="42" t="inlineStr">
        <is>
          <t>Yellow fill</t>
        </is>
      </c>
      <c r="B20" s="47" t="inlineStr">
        <is>
          <t>Placeholder awaiting extraction from cfb_sim.py</t>
        </is>
      </c>
    </row>
    <row r="22">
      <c r="A22" s="34" t="inlineStr">
        <is>
          <t>SUCCESSOR</t>
        </is>
      </c>
      <c r="B22" s="48" t="inlineStr">
        <is>
          <t>Model_Parameters_v2_PROPOSED.xlsx</t>
        </is>
      </c>
    </row>
    <row r="23">
      <c r="A23" s="34" t="inlineStr">
        <is>
          <t>Status</t>
        </is>
      </c>
      <c r="B23" s="48" t="inlineStr">
        <is>
          <t>PROPOSED — see 00_CONTROL_V2 and 14_RATIFICATION</t>
        </is>
      </c>
    </row>
  </sheetData>
  <printOptions horizontalCentered="0" verticalCentered="0" headings="0" gridLines="0" gridLinesSet="1"/>
  <pageMargins left="0.25" right="0.25" top="0.5" bottom="0.5" header="0.511811023622047" footer="0.511811023622047"/>
  <pageSetup orientation="landscape" paperSize="9" scale="100" fitToHeight="0" fitToWidth="1" pageOrder="downThenOver" blackAndWhite="0" draft="0" horizontalDpi="300" verticalDpi="300" copies="1"/>
</worksheet>
</file>

<file path=xl/worksheets/sheet21.xml><?xml version="1.0" encoding="utf-8"?>
<worksheet xmlns="http://schemas.openxmlformats.org/spreadsheetml/2006/main">
  <sheetPr>
    <outlinePr summaryBelow="1" summaryRight="1"/>
    <pageSetUpPr/>
  </sheetPr>
  <dimension ref="A1:H26"/>
  <sheetViews>
    <sheetView showGridLines="0" workbookViewId="0">
      <pane ySplit="4" topLeftCell="A5" activePane="bottomLeft" state="frozen"/>
      <selection pane="bottomLeft" activeCell="A1" sqref="A1"/>
    </sheetView>
  </sheetViews>
  <sheetFormatPr baseColWidth="8" defaultRowHeight="15"/>
  <cols>
    <col width="34" customWidth="1" style="26" min="1" max="1"/>
    <col width="22" customWidth="1" style="26" min="2" max="2"/>
    <col width="52" customWidth="1" style="26" min="3" max="3"/>
    <col width="38" customWidth="1" style="26" min="4" max="4"/>
    <col width="32" customWidth="1" style="26" min="5" max="5"/>
    <col width="38" customWidth="1" style="26" min="6" max="6"/>
    <col width="48" customWidth="1" style="26" min="7" max="7"/>
    <col width="48" customWidth="1" style="26" min="8" max="8"/>
  </cols>
  <sheetData>
    <row r="1">
      <c r="A1" s="75" t="inlineStr">
        <is>
          <t>00_CANON_MANIFEST.xlsx — INGEST, RECONCILIATION, AND DISPOSITION</t>
        </is>
      </c>
    </row>
    <row r="2">
      <c r="A2" s="76" t="inlineStr">
        <is>
          <t>Source SHA-256</t>
        </is>
      </c>
      <c r="B2" s="76" t="inlineStr">
        <is>
          <t>bd27486ec90ea243299897e6ca27a79d1ceaaa98565ddde562c8590059d33cab</t>
        </is>
      </c>
      <c r="C2" s="76" t="inlineStr">
        <is>
          <t>Source size</t>
        </is>
      </c>
      <c r="D2" s="76" t="n">
        <v>7169</v>
      </c>
      <c r="E2" s="76" t="inlineStr">
        <is>
          <t>Snapshot date</t>
        </is>
      </c>
      <c r="F2" s="76" t="inlineStr">
        <is>
          <t>2026-07-14</t>
        </is>
      </c>
      <c r="G2" s="76" t="inlineStr">
        <is>
          <t>Ingest date</t>
        </is>
      </c>
      <c r="H2" s="76" t="inlineStr">
        <is>
          <t>2026-07-22</t>
        </is>
      </c>
    </row>
    <row r="4">
      <c r="A4" s="77" t="inlineStr">
        <is>
          <t>artifact</t>
        </is>
      </c>
      <c r="B4" s="77" t="inlineStr">
        <is>
          <t>source_status</t>
        </is>
      </c>
      <c r="C4" s="77" t="inlineStr">
        <is>
          <t>source_contents</t>
        </is>
      </c>
      <c r="D4" s="77" t="inlineStr">
        <is>
          <t>source_supersession</t>
        </is>
      </c>
      <c r="E4" s="77" t="inlineStr">
        <is>
          <t>v2.5_disposition</t>
        </is>
      </c>
      <c r="F4" s="77" t="inlineStr">
        <is>
          <t>current_authority</t>
        </is>
      </c>
      <c r="G4" s="77" t="inlineStr">
        <is>
          <t>acceptance_basis</t>
        </is>
      </c>
      <c r="H4" s="77" t="inlineStr">
        <is>
          <t>notes</t>
        </is>
      </c>
    </row>
    <row r="5">
      <c r="A5" s="29" t="inlineStr">
        <is>
          <t>2026_Board_I-H_v2.xlsx</t>
        </is>
      </c>
      <c r="B5" s="29" t="inlineStr">
        <is>
          <t>CANONICAL</t>
        </is>
      </c>
      <c r="C5" s="29" t="inlineStr">
        <is>
          <t>Board of record. Board I-H + D-MARKET-NDSU fix. power_H (5-comp) + committee_H = 0.911111*power_H + 0.088889*market. KAPPA-FREE.</t>
        </is>
      </c>
      <c r="D5" s="29" t="inlineStr">
        <is>
          <t>— current board of record —</t>
        </is>
      </c>
      <c r="E5" s="65" t="inlineStr">
        <is>
          <t>ACCEPT — current authority remains valid</t>
        </is>
      </c>
      <c r="F5" s="29" t="inlineStr">
        <is>
          <t>2026 Board I-H v2.xlsx</t>
        </is>
      </c>
      <c r="G5" s="29" t="inlineStr">
        <is>
          <t>Matches current board of record; filename punctuation normalized.</t>
        </is>
      </c>
      <c r="H5" s="29" t="inlineStr">
        <is>
          <t>No supersession needed.</t>
        </is>
      </c>
    </row>
    <row r="6">
      <c r="A6" s="29" t="inlineStr">
        <is>
          <t>2026_HARDENED_Run_v2_IH.csv</t>
        </is>
      </c>
      <c r="B6" s="29" t="inlineStr">
        <is>
          <t>CANONICAL</t>
        </is>
      </c>
      <c r="C6" s="29" t="inlineStr">
        <is>
          <t>MC of record. Uncertainty-aware (sigma=68/team/iter), kappa=0.85, R_ref=1893.3, Poisson-binomial SOR, 8000 iters seed 20260714, schedule LOCKED v3 (736 games).</t>
        </is>
      </c>
      <c r="D6" s="29" t="inlineStr">
        <is>
          <t>— current MC of record —</t>
        </is>
      </c>
      <c r="E6" s="70" t="inlineStr">
        <is>
          <t>REJECT AS CURRENT / RETAIN HISTORICAL</t>
        </is>
      </c>
      <c r="F6" s="29" t="inlineStr">
        <is>
          <t>2026_HARDENED_Run_v6.csv</t>
        </is>
      </c>
      <c r="G6" s="29" t="inlineStr">
        <is>
          <t>Pre-CCG output; superseded by governed CCG-complete run v6.</t>
        </is>
      </c>
      <c r="H6" s="29" t="inlineStr">
        <is>
          <t>DO-NOT-USE for current field, seeding, bid, or title probabilities.</t>
        </is>
      </c>
    </row>
    <row r="7">
      <c r="A7" s="29" t="inlineStr">
        <is>
          <t>compute_mc_hardened.py</t>
        </is>
      </c>
      <c r="B7" s="29" t="inlineStr">
        <is>
          <t>TOOL (live)</t>
        </is>
      </c>
      <c r="C7" s="29" t="inlineStr">
        <is>
          <t>Hardened MC generator (sigma-aware, kappa-blended). Produced the run of record.</t>
        </is>
      </c>
      <c r="D7" s="29" t="inlineStr">
        <is>
          <t>—</t>
        </is>
      </c>
      <c r="E7" s="70" t="inlineStr">
        <is>
          <t>REJECT AS CURRENT / RETAIN HISTORICAL</t>
        </is>
      </c>
      <c r="F7" s="29" t="inlineStr">
        <is>
          <t>compute_mc_hardened_v2_3.py</t>
        </is>
      </c>
      <c r="G7" s="29" t="inlineStr">
        <is>
          <t>Older engine predates full CCG rules and fail-loud corrections.</t>
        </is>
      </c>
      <c r="H7" s="29" t="inlineStr">
        <is>
          <t>Archive only; current implementation is v2.3.</t>
        </is>
      </c>
    </row>
    <row r="8">
      <c r="A8" s="29" t="inlineStr">
        <is>
          <t>kappa_extractor.py</t>
        </is>
      </c>
      <c r="B8" s="29" t="inlineStr">
        <is>
          <t>TOOL (live)</t>
        </is>
      </c>
      <c r="C8" s="29" t="inlineStr">
        <is>
          <t>effective-kappa diagnostic</t>
        </is>
      </c>
      <c r="D8" s="29" t="inlineStr">
        <is>
          <t>—</t>
        </is>
      </c>
      <c r="E8" s="78" t="inlineStr">
        <is>
          <t>ACCEPT AS SUPPORTING TOOL REFERENCE</t>
        </is>
      </c>
      <c r="F8" s="29" t="inlineStr">
        <is>
          <t>No change to canonical chain</t>
        </is>
      </c>
      <c r="G8" s="29" t="inlineStr">
        <is>
          <t>No newer superseding evidence in the ingested file set.</t>
        </is>
      </c>
      <c r="H8" s="29" t="inlineStr">
        <is>
          <t>Tool is not independently promoted to canonical engine authority.</t>
        </is>
      </c>
    </row>
    <row r="9">
      <c r="A9" s="29" t="inlineStr">
        <is>
          <t>chairman_override.py</t>
        </is>
      </c>
      <c r="B9" s="29" t="inlineStr">
        <is>
          <t>TOOL (live)</t>
        </is>
      </c>
      <c r="C9" s="29" t="inlineStr">
        <is>
          <t>logged CAF override</t>
        </is>
      </c>
      <c r="D9" s="29" t="inlineStr">
        <is>
          <t>—</t>
        </is>
      </c>
      <c r="E9" s="78" t="inlineStr">
        <is>
          <t>ACCEPT AS SUPPORTING TOOL REFERENCE</t>
        </is>
      </c>
      <c r="F9" s="29" t="inlineStr">
        <is>
          <t>No change to canonical chain</t>
        </is>
      </c>
      <c r="G9" s="29" t="inlineStr">
        <is>
          <t>No newer superseding evidence in the ingested file set.</t>
        </is>
      </c>
      <c r="H9" s="29" t="inlineStr">
        <is>
          <t>Tool is not independently promoted to canonical engine authority.</t>
        </is>
      </c>
    </row>
    <row r="10">
      <c r="A10" s="29" t="inlineStr">
        <is>
          <t>Backtest_Firewall_Spec.md</t>
        </is>
      </c>
      <c r="B10" s="29" t="inlineStr">
        <is>
          <t>SPEC (live)</t>
        </is>
      </c>
      <c r="C10" s="29" t="inlineStr">
        <is>
          <t>retrospective backtest protocol</t>
        </is>
      </c>
      <c r="D10" s="29" t="inlineStr">
        <is>
          <t>—</t>
        </is>
      </c>
      <c r="E10" s="78" t="inlineStr">
        <is>
          <t>ACCEPT AS SUPPORTING SPEC REFERENCE</t>
        </is>
      </c>
      <c r="F10" s="29" t="inlineStr">
        <is>
          <t>Current firewall doctrine remains governed elsewhere</t>
        </is>
      </c>
      <c r="G10" s="29" t="inlineStr">
        <is>
          <t>No direct conflict found.</t>
        </is>
      </c>
      <c r="H10" s="29" t="inlineStr">
        <is>
          <t>Reference only; not a parameter or executable authority.</t>
        </is>
      </c>
    </row>
    <row r="11">
      <c r="A11" s="29" t="inlineStr">
        <is>
          <t>Kappa_Uncertainty_and_Breakpoints.xlsx</t>
        </is>
      </c>
      <c r="B11" s="29" t="inlineStr">
        <is>
          <t>REFERENCE</t>
        </is>
      </c>
      <c r="C11" s="29" t="inlineStr">
        <is>
          <t>kappa bootstrap CI [0.74,1.00] + breakpoints. P(kappa&lt;0.30)=0.000.</t>
        </is>
      </c>
      <c r="D11" s="29" t="inlineStr">
        <is>
          <t>current kappa-uncertainty record</t>
        </is>
      </c>
      <c r="E11" s="78" t="inlineStr">
        <is>
          <t>ACCEPT AS SUPPORTING HISTORICAL EVIDENCE</t>
        </is>
      </c>
      <c r="F11" s="29" t="inlineStr">
        <is>
          <t>kappa=0.85 / sigma=68 / r_ref=1893.3 in current CCG chain</t>
        </is>
      </c>
      <c r="G11" s="29" t="inlineStr">
        <is>
          <t>Supports parameter history but does not supersede current governed values.</t>
        </is>
      </c>
      <c r="H11" s="29" t="inlineStr">
        <is>
          <t>Reference evidence, subject to file retrieval/hash verification if used operationally.</t>
        </is>
      </c>
    </row>
    <row r="12">
      <c r="A12" s="29" t="inlineStr">
        <is>
          <t>Weight_and_Rating_Uncertainty.xlsx</t>
        </is>
      </c>
      <c r="B12" s="29" t="inlineStr">
        <is>
          <t>REFERENCE</t>
        </is>
      </c>
      <c r="C12" s="29" t="inlineStr">
        <is>
          <t>weight load-bearing + sigma=68 derivation</t>
        </is>
      </c>
      <c r="D12" s="29" t="inlineStr">
        <is>
          <t>current; sigma feeds HARDENED run v2</t>
        </is>
      </c>
      <c r="E12" s="78" t="inlineStr">
        <is>
          <t>ACCEPT AS SUPPORTING HISTORICAL EVIDENCE</t>
        </is>
      </c>
      <c r="F12" s="29" t="inlineStr">
        <is>
          <t>kappa=0.85 / sigma=68 / r_ref=1893.3 in current CCG chain</t>
        </is>
      </c>
      <c r="G12" s="29" t="inlineStr">
        <is>
          <t>Supports parameter history but does not supersede current governed values.</t>
        </is>
      </c>
      <c r="H12" s="29" t="inlineStr">
        <is>
          <t>Reference evidence, subject to file retrieval/hash verification if used operationally.</t>
        </is>
      </c>
    </row>
    <row r="13">
      <c r="A13" s="29" t="inlineStr">
        <is>
          <t>2025_Effective_Kappa_Calibration.xlsx</t>
        </is>
      </c>
      <c r="B13" s="29" t="inlineStr">
        <is>
          <t>REFERENCE</t>
        </is>
      </c>
      <c r="C13" s="29" t="inlineStr">
        <is>
          <t>2025 kappa back-out; certifies reference Elo 1702.9</t>
        </is>
      </c>
      <c r="D13" s="29" t="inlineStr">
        <is>
          <t>supporting; stats folded into Kappa_Uncertainty</t>
        </is>
      </c>
      <c r="E13" s="78" t="inlineStr">
        <is>
          <t>ACCEPT AS SUPPORTING HISTORICAL EVIDENCE</t>
        </is>
      </c>
      <c r="F13" s="29" t="inlineStr">
        <is>
          <t>kappa=0.85 / sigma=68 / r_ref=1893.3 in current CCG chain</t>
        </is>
      </c>
      <c r="G13" s="29" t="inlineStr">
        <is>
          <t>Supports parameter history but does not supersede current governed values.</t>
        </is>
      </c>
      <c r="H13" s="29" t="inlineStr">
        <is>
          <t>Reference evidence, subject to file retrieval/hash verification if used operationally.</t>
        </is>
      </c>
    </row>
    <row r="14">
      <c r="A14" s="29" t="inlineStr">
        <is>
          <t>2025_Preseason_Elo_CARRY_v1.xlsx</t>
        </is>
      </c>
      <c r="B14" s="29" t="inlineStr">
        <is>
          <t>REFERENCE (UNRATIFIED)</t>
        </is>
      </c>
      <c r="C14" s="29" t="inlineStr">
        <is>
          <t>4 preseason-prior variants (2024 carry-forward). Governance self-declares unratified.</t>
        </is>
      </c>
      <c r="D14" s="29" t="inlineStr">
        <is>
          <t>not used for 2025 (H1 falsified, R-ELO-01); candidate FORWARD prior once ratified</t>
        </is>
      </c>
      <c r="E14" s="70" t="inlineStr">
        <is>
          <t>REJECT FOR CURRENT USE / RETAIN UNRATIFIED</t>
        </is>
      </c>
      <c r="F14" s="29" t="inlineStr">
        <is>
          <t>No current forward-prior authority</t>
        </is>
      </c>
      <c r="G14" s="29" t="inlineStr">
        <is>
          <t>Self-declared unratified; R-ELO-01/H1 history blocks automatic adoption.</t>
        </is>
      </c>
      <c r="H14" s="29" t="inlineStr">
        <is>
          <t>May be revisited only by explicit ruling.</t>
        </is>
      </c>
    </row>
    <row r="15">
      <c r="A15" s="29" t="inlineStr">
        <is>
          <t>2026_HARDENED_Canonical_Run.xlsx</t>
        </is>
      </c>
      <c r="B15" s="29" t="inlineStr">
        <is>
          <t>SUPERSEDED</t>
        </is>
      </c>
      <c r="C15" s="29" t="inlineStr">
        <is>
          <t>Prior board/MC of record. Built on pre-I-H components (28/121 Power diffs &gt;0.01); fixed-rating in parts; R_ref 1901 now stale.</t>
        </is>
      </c>
      <c r="D15" s="29" t="inlineStr">
        <is>
          <t>by 2026_Board_I-H_v2 + 2026_HARDENED_Run_v2_IH (R-MC-V2)</t>
        </is>
      </c>
      <c r="E15" s="78" t="inlineStr">
        <is>
          <t>ACCEPT AS SUPERSEDED HISTORY</t>
        </is>
      </c>
      <c r="F15" s="29" t="inlineStr">
        <is>
          <t>See source supersession field</t>
        </is>
      </c>
      <c r="G15" s="29" t="inlineStr">
        <is>
          <t>Manifest correctly marks it non-current.</t>
        </is>
      </c>
      <c r="H15" s="29" t="inlineStr">
        <is>
          <t>Retain for audit; do not use for decisions.</t>
        </is>
      </c>
    </row>
    <row r="16">
      <c r="A16" s="29" t="inlineStr">
        <is>
          <t>2026_Board_I_CANONICAL-H.xlsx</t>
        </is>
      </c>
      <c r="B16" s="29" t="inlineStr">
        <is>
          <t>SUPERSEDED</t>
        </is>
      </c>
      <c r="C16" s="29" t="inlineStr">
        <is>
          <t>Board I-H before the D-MARKET-NDSU fix.</t>
        </is>
      </c>
      <c r="D16" s="29" t="inlineStr">
        <is>
          <t>by 2026_Board_I-H_v2 (D-MARKET-NDSU)</t>
        </is>
      </c>
      <c r="E16" s="78" t="inlineStr">
        <is>
          <t>ACCEPT AS SUPERSEDED HISTORY</t>
        </is>
      </c>
      <c r="F16" s="29" t="inlineStr">
        <is>
          <t>See source supersession field</t>
        </is>
      </c>
      <c r="G16" s="29" t="inlineStr">
        <is>
          <t>Manifest correctly marks it non-current.</t>
        </is>
      </c>
      <c r="H16" s="29" t="inlineStr">
        <is>
          <t>Retain for audit; do not use for decisions.</t>
        </is>
      </c>
    </row>
    <row r="17">
      <c r="A17" s="29" t="inlineStr">
        <is>
          <t>2026_Board_I_CANONICAL-B / _2 / CANONICAL_2</t>
        </is>
      </c>
      <c r="B17" s="29" t="inlineStr">
        <is>
          <t>SUPERSEDED</t>
        </is>
      </c>
      <c r="C17" s="29" t="inlineStr">
        <is>
          <t>Pre-I-H board (7-comp incl retired ecology). CANONICAL-B_2 is byte-identical to CANONICAL_2 (naming dup).</t>
        </is>
      </c>
      <c r="D17" s="29" t="inlineStr">
        <is>
          <t>by 2026_Board_I_CANONICAL-H then I-H v2 (R-ECO-01 retired ecology)</t>
        </is>
      </c>
      <c r="E17" s="78" t="inlineStr">
        <is>
          <t>ACCEPT AS SUPERSEDED HISTORY</t>
        </is>
      </c>
      <c r="F17" s="29" t="inlineStr">
        <is>
          <t>See source supersession field</t>
        </is>
      </c>
      <c r="G17" s="29" t="inlineStr">
        <is>
          <t>Manifest correctly marks it non-current.</t>
        </is>
      </c>
      <c r="H17" s="29" t="inlineStr">
        <is>
          <t>Retain for audit; do not use for decisions.</t>
        </is>
      </c>
    </row>
    <row r="18">
      <c r="A18" s="29" t="inlineStr">
        <is>
          <t>2026_Kappa_0.30_vs_0.85_Diff.xlsx</t>
        </is>
      </c>
      <c r="B18" s="29" t="inlineStr">
        <is>
          <t>SUPERSEDED</t>
        </is>
      </c>
      <c r="C18" s="29" t="inlineStr">
        <is>
          <t>kappa diff study</t>
        </is>
      </c>
      <c r="D18" s="29" t="inlineStr">
        <is>
          <t>by HARDENED run v2</t>
        </is>
      </c>
      <c r="E18" s="78" t="inlineStr">
        <is>
          <t>ACCEPT AS SUPERSEDED HISTORY</t>
        </is>
      </c>
      <c r="F18" s="29" t="inlineStr">
        <is>
          <t>See source supersession field</t>
        </is>
      </c>
      <c r="G18" s="29" t="inlineStr">
        <is>
          <t>Manifest correctly marks it non-current.</t>
        </is>
      </c>
      <c r="H18" s="29" t="inlineStr">
        <is>
          <t>Retain for audit; do not use for decisions.</t>
        </is>
      </c>
    </row>
    <row r="19">
      <c r="A19" s="29" t="inlineStr">
        <is>
          <t>2026_Kappa_Sensitivity_Sweep.xlsx</t>
        </is>
      </c>
      <c r="B19" s="29" t="inlineStr">
        <is>
          <t>SUPERSEDED</t>
        </is>
      </c>
      <c r="C19" s="29" t="inlineStr">
        <is>
          <t>0.30/0.50/0.70 sweep</t>
        </is>
      </c>
      <c r="D19" s="29" t="inlineStr">
        <is>
          <t>by Kappa_Uncertainty (band 0.74-1.00)</t>
        </is>
      </c>
      <c r="E19" s="78" t="inlineStr">
        <is>
          <t>ACCEPT AS SUPERSEDED HISTORY</t>
        </is>
      </c>
      <c r="F19" s="29" t="inlineStr">
        <is>
          <t>See source supersession field</t>
        </is>
      </c>
      <c r="G19" s="29" t="inlineStr">
        <is>
          <t>Manifest correctly marks it non-current.</t>
        </is>
      </c>
      <c r="H19" s="29" t="inlineStr">
        <is>
          <t>Retain for audit; do not use for decisions.</t>
        </is>
      </c>
    </row>
    <row r="20">
      <c r="A20" s="29" t="inlineStr">
        <is>
          <t>2026_Preseason_MonteCarlo_TierB.xlsx</t>
        </is>
      </c>
      <c r="B20" s="29" t="inlineStr">
        <is>
          <t>SUPERSEDED</t>
        </is>
      </c>
      <c r="C20" s="29" t="inlineStr">
        <is>
          <t>playoff equity kappa=0.30, fixed rating</t>
        </is>
      </c>
      <c r="D20" s="29" t="inlineStr">
        <is>
          <t>by HARDENED run v2</t>
        </is>
      </c>
      <c r="E20" s="78" t="inlineStr">
        <is>
          <t>ACCEPT AS SUPERSEDED HISTORY</t>
        </is>
      </c>
      <c r="F20" s="29" t="inlineStr">
        <is>
          <t>See source supersession field</t>
        </is>
      </c>
      <c r="G20" s="29" t="inlineStr">
        <is>
          <t>Manifest correctly marks it non-current.</t>
        </is>
      </c>
      <c r="H20" s="29" t="inlineStr">
        <is>
          <t>Retain for audit; do not use for decisions.</t>
        </is>
      </c>
    </row>
    <row r="21">
      <c r="A21" s="29" t="inlineStr">
        <is>
          <t>2026_Preseason_MonteCarlo_TierA.xlsx</t>
        </is>
      </c>
      <c r="B21" s="29" t="inlineStr">
        <is>
          <t>SUPERSEDED</t>
        </is>
      </c>
      <c r="C21" s="29" t="inlineStr">
        <is>
          <t>records, fixed rating (no sigma)</t>
        </is>
      </c>
      <c r="D21" s="29" t="inlineStr">
        <is>
          <t>by HARDENED run v2</t>
        </is>
      </c>
      <c r="E21" s="78" t="inlineStr">
        <is>
          <t>ACCEPT AS SUPERSEDED HISTORY</t>
        </is>
      </c>
      <c r="F21" s="29" t="inlineStr">
        <is>
          <t>See source supersession field</t>
        </is>
      </c>
      <c r="G21" s="29" t="inlineStr">
        <is>
          <t>Manifest correctly marks it non-current.</t>
        </is>
      </c>
      <c r="H21" s="29" t="inlineStr">
        <is>
          <t>Retain for audit; do not use for decisions.</t>
        </is>
      </c>
    </row>
    <row r="22">
      <c r="A22" s="29" t="inlineStr">
        <is>
          <t>inputs (locked, not artifacts)</t>
        </is>
      </c>
      <c r="B22" s="29" t="inlineStr">
        <is>
          <t>2026_Board_I-H_v2 · 2026_FBS_Schedule_LOCKED_v3 (sha 33238676; 736 games) · 2025 season+rating layer</t>
        </is>
      </c>
      <c r="C22" s="29" t="n"/>
      <c r="D22" s="29" t="n"/>
      <c r="E22" s="78" t="inlineStr">
        <is>
          <t>ACCEPT AS HISTORICAL REFERENCE</t>
        </is>
      </c>
      <c r="F22" s="29" t="inlineStr">
        <is>
          <t>No automatic authority</t>
        </is>
      </c>
      <c r="G22" s="29" t="inlineStr">
        <is>
          <t>Historical snapshot only.</t>
        </is>
      </c>
      <c r="H22" s="29" t="inlineStr">
        <is>
          <t>Requires separate verification before operational use.</t>
        </is>
      </c>
    </row>
    <row r="23">
      <c r="A23" s="29" t="inlineStr">
        <is>
          <t>rulings this cycle</t>
        </is>
      </c>
      <c r="B23" s="29" t="inlineStr">
        <is>
          <t>R-ECO-01 (retire ecology) · R-DEF2/D-MARKET-NDSU · R-H4-ACCEPT · R-BOARD-J-DEFER (corrected: board is kappa-free) · R-MC-V2 · R-ELO-01</t>
        </is>
      </c>
      <c r="C23" s="29" t="n"/>
      <c r="D23" s="29" t="n"/>
      <c r="E23" s="78" t="inlineStr">
        <is>
          <t>ACCEPT AS HISTORICAL REFERENCE</t>
        </is>
      </c>
      <c r="F23" s="29" t="inlineStr">
        <is>
          <t>No automatic authority</t>
        </is>
      </c>
      <c r="G23" s="29" t="inlineStr">
        <is>
          <t>Historical snapshot only.</t>
        </is>
      </c>
      <c r="H23" s="29" t="inlineStr">
        <is>
          <t>Requires separate verification before operational use.</t>
        </is>
      </c>
    </row>
    <row r="24">
      <c r="A24" s="29" t="inlineStr">
        <is>
          <t>change log</t>
        </is>
      </c>
      <c r="B24" s="29" t="inlineStr">
        <is>
          <t>2026-07-14: board of record I-H-&gt;I-H v2 (D-MARKET); MC of record -&gt;HARDENED Run v2 on I-H v2; old Hardened Run 2026-07-09 SUPERSEDED; R_ref 1901-&gt;1893.3; field UNCHANGED.</t>
        </is>
      </c>
      <c r="C24" s="29" t="n"/>
      <c r="D24" s="29" t="n"/>
      <c r="E24" s="78" t="inlineStr">
        <is>
          <t>ACCEPT AS SUPERSEDED HISTORY</t>
        </is>
      </c>
      <c r="F24" s="29" t="inlineStr">
        <is>
          <t>See source supersession field</t>
        </is>
      </c>
      <c r="G24" s="29" t="inlineStr">
        <is>
          <t>Manifest correctly marks it non-current.</t>
        </is>
      </c>
      <c r="H24" s="29" t="inlineStr">
        <is>
          <t>Retain for audit; do not use for decisions.</t>
        </is>
      </c>
    </row>
    <row r="26">
      <c r="A26" s="79" t="inlineStr">
        <is>
          <t>GOVERNING CONCLUSION</t>
        </is>
      </c>
      <c r="B26" s="79" t="n"/>
      <c r="C26" s="79" t="n"/>
      <c r="D26" s="79" t="n"/>
      <c r="E26" s="79" t="inlineStr">
        <is>
          <t>The uploaded manifest is accepted as a historical canon snapshot, not as a present-day authority override.</t>
        </is>
      </c>
      <c r="F26" s="79" t="inlineStr">
        <is>
          <t>Current chain: Board I-H v2 -&gt; Schedule v5 -&gt; AAC divisions -&gt; engine v2.3 -&gt; run v6.</t>
        </is>
      </c>
      <c r="G26" s="79" t="n"/>
      <c r="H26" s="79" t="n"/>
    </row>
  </sheetData>
  <autoFilter ref="A4:H24"/>
  <mergeCells count="1">
    <mergeCell ref="A1:H1"/>
  </mergeCells>
  <pageMargins left="0.75" right="0.75" top="1" bottom="1" header="0.5" footer="0.5"/>
</worksheet>
</file>

<file path=xl/worksheets/sheet22.xml><?xml version="1.0" encoding="utf-8"?>
<worksheet xmlns="http://schemas.openxmlformats.org/spreadsheetml/2006/main">
  <sheetPr filterMode="0">
    <tabColor rgb="00A5A5A5"/>
    <outlinePr summaryBelow="1" summaryRight="1"/>
    <pageSetUpPr fitToPage="1"/>
  </sheetPr>
  <dimension ref="A1:G18"/>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6" customWidth="1" style="39" min="1" max="1"/>
    <col width="12" customWidth="1" style="39" min="2" max="2"/>
    <col width="14" customWidth="1" style="39" min="3" max="3"/>
    <col width="16" customWidth="1" style="39" min="4" max="4"/>
    <col width="13" customWidth="1" style="39" min="5" max="5"/>
    <col width="44" customWidth="1" style="39" min="6" max="6"/>
    <col width="34" customWidth="1" style="39" min="7" max="7"/>
  </cols>
  <sheetData>
    <row r="1" ht="16.15" customHeight="1" s="26">
      <c r="A1" s="40" t="inlineStr">
        <is>
          <t>GAME ENGINE PARAMETERS — cfb_sim.py</t>
        </is>
      </c>
      <c r="B1" s="41" t="n"/>
      <c r="C1" s="41" t="n"/>
      <c r="D1" s="41" t="n"/>
      <c r="E1" s="41" t="n"/>
      <c r="F1" s="41" t="n"/>
      <c r="G1" s="41" t="n"/>
    </row>
    <row r="3" ht="15" customHeight="1" s="26">
      <c r="A3" s="49" t="inlineStr">
        <is>
          <t>Parameter</t>
        </is>
      </c>
      <c r="B3" s="49" t="inlineStr">
        <is>
          <t>Value</t>
        </is>
      </c>
      <c r="C3" s="49" t="inlineStr">
        <is>
          <t>Units</t>
        </is>
      </c>
      <c r="D3" s="49" t="inlineStr">
        <is>
          <t>Module</t>
        </is>
      </c>
      <c r="E3" s="49" t="inlineStr">
        <is>
          <t>Status</t>
        </is>
      </c>
      <c r="F3" s="49" t="inlineStr">
        <is>
          <t>Definition</t>
        </is>
      </c>
      <c r="G3" s="49" t="inlineStr">
        <is>
          <t>Provenance</t>
        </is>
      </c>
    </row>
    <row r="4" ht="35.05" customHeight="1" s="26">
      <c r="A4" s="50" t="inlineStr">
        <is>
          <t>RATING_SLOPE</t>
        </is>
      </c>
      <c r="B4" s="51" t="n">
        <v>0.022</v>
      </c>
      <c r="C4" s="52" t="inlineStr">
        <is>
          <t>logit / rating pt</t>
        </is>
      </c>
      <c r="D4" s="53" t="inlineStr">
        <is>
          <t>cfb_sim.py</t>
        </is>
      </c>
      <c r="E4" s="54" t="inlineStr">
        <is>
          <t>VERIFIED</t>
        </is>
      </c>
      <c r="F4" s="55" t="inlineStr">
        <is>
          <t>Logit shift per rating point of edge between teams. Calibrated down from initial 0.055 via 5,000-game sweep (tested 0.020-0.040).</t>
        </is>
      </c>
      <c r="G4" s="55" t="inlineStr">
        <is>
          <t>Jul 13-14 session: sed patch to 0.022 confirmed in transcript</t>
        </is>
      </c>
    </row>
    <row r="5" ht="23.85" customHeight="1" s="26">
      <c r="A5" s="50" t="inlineStr">
        <is>
          <t>HOME_FIELD_PTS</t>
        </is>
      </c>
      <c r="B5" s="51" t="n">
        <v>4</v>
      </c>
      <c r="C5" s="52" t="inlineStr">
        <is>
          <t>points</t>
        </is>
      </c>
      <c r="D5" s="53" t="inlineStr">
        <is>
          <t>cfb_sim.py</t>
        </is>
      </c>
      <c r="E5" s="54" t="inlineStr">
        <is>
          <t>VERIFIED</t>
        </is>
      </c>
      <c r="F5" s="55" t="inlineStr">
        <is>
          <t>Home-field advantage applied to the home team. Calibrated up from initial 2.4.</t>
        </is>
      </c>
      <c r="G5" s="55" t="inlineStr">
        <is>
          <t>Jul 13-14 session: calibration sweep, patched to 4.0</t>
        </is>
      </c>
    </row>
    <row r="6" ht="15" customHeight="1" s="26">
      <c r="A6" s="50" t="inlineStr">
        <is>
          <t>GAME_CLOCK_TOTAL</t>
        </is>
      </c>
      <c r="B6" s="51" t="n">
        <v>3600</v>
      </c>
      <c r="C6" s="52" t="inlineStr">
        <is>
          <t>seconds</t>
        </is>
      </c>
      <c r="D6" s="53" t="inlineStr">
        <is>
          <t>cfb_sim.py</t>
        </is>
      </c>
      <c r="E6" s="54" t="inlineStr">
        <is>
          <t>VERIFIED</t>
        </is>
      </c>
      <c r="F6" s="55" t="inlineStr">
        <is>
          <t>Regulation game clock: 4 quarters x 900 s.</t>
        </is>
      </c>
      <c r="G6" s="55" t="inlineStr">
        <is>
          <t>Jul 13-14 session: engine docstring</t>
        </is>
      </c>
    </row>
    <row r="7" ht="15" customHeight="1" s="26">
      <c r="A7" s="50" t="inlineStr">
        <is>
          <t>QUARTER_LENGTH</t>
        </is>
      </c>
      <c r="B7" s="51" t="n">
        <v>900</v>
      </c>
      <c r="C7" s="52" t="inlineStr">
        <is>
          <t>seconds</t>
        </is>
      </c>
      <c r="D7" s="53" t="inlineStr">
        <is>
          <t>cfb_sim.py</t>
        </is>
      </c>
      <c r="E7" s="54" t="inlineStr">
        <is>
          <t>VERIFIED</t>
        </is>
      </c>
      <c r="F7" s="55" t="inlineStr">
        <is>
          <t>Per-quarter clock.</t>
        </is>
      </c>
      <c r="G7" s="55" t="inlineStr">
        <is>
          <t>Jul 13-14 session: engine docstring</t>
        </is>
      </c>
    </row>
    <row r="8" ht="23.85" customHeight="1" s="26">
      <c r="A8" s="50" t="inlineStr">
        <is>
          <t>SEED_HASH</t>
        </is>
      </c>
      <c r="B8" s="51" t="inlineStr">
        <is>
          <t>FNV</t>
        </is>
      </c>
      <c r="C8" s="52" t="inlineStr">
        <is>
          <t>—</t>
        </is>
      </c>
      <c r="D8" s="53" t="inlineStr">
        <is>
          <t>cfb_sim.py</t>
        </is>
      </c>
      <c r="E8" s="54" t="inlineStr">
        <is>
          <t>VERIFIED</t>
        </is>
      </c>
      <c r="F8" s="55" t="inlineStr">
        <is>
          <t>Per-matchup seed derivation for --slate and --week modes.</t>
        </is>
      </c>
      <c r="G8" s="55" t="inlineStr">
        <is>
          <t>Jul 13-14 session summary</t>
        </is>
      </c>
    </row>
    <row r="9" ht="23.85" customHeight="1" s="26">
      <c r="A9" s="50" t="inlineStr">
        <is>
          <t>DRIVE_P_TD</t>
        </is>
      </c>
      <c r="B9" s="56" t="n"/>
      <c r="C9" s="52" t="inlineStr">
        <is>
          <t>probability</t>
        </is>
      </c>
      <c r="D9" s="53" t="inlineStr">
        <is>
          <t>cfb_sim.py</t>
        </is>
      </c>
      <c r="E9" s="57" t="inlineStr">
        <is>
          <t>PLACEHOLDER</t>
        </is>
      </c>
      <c r="F9" s="55" t="inlineStr">
        <is>
          <t>Baseline drive -&gt; touchdown probability in the Markov drive model, before rating adjustment.</t>
        </is>
      </c>
      <c r="G9" s="55" t="inlineStr">
        <is>
          <t>In cfb_sim.py; value not in recoverable chat history</t>
        </is>
      </c>
    </row>
    <row r="10" ht="23.85" customHeight="1" s="26">
      <c r="A10" s="50" t="inlineStr">
        <is>
          <t>DRIVE_P_FG_ATT</t>
        </is>
      </c>
      <c r="B10" s="56" t="n"/>
      <c r="C10" s="52" t="inlineStr">
        <is>
          <t>probability</t>
        </is>
      </c>
      <c r="D10" s="53" t="inlineStr">
        <is>
          <t>cfb_sim.py</t>
        </is>
      </c>
      <c r="E10" s="57" t="inlineStr">
        <is>
          <t>PLACEHOLDER</t>
        </is>
      </c>
      <c r="F10" s="55" t="inlineStr">
        <is>
          <t>Baseline drive -&gt; field-goal-attempt probability.</t>
        </is>
      </c>
      <c r="G10" s="55" t="inlineStr">
        <is>
          <t>In cfb_sim.py; value not in recoverable chat history</t>
        </is>
      </c>
    </row>
    <row r="11" ht="23.85" customHeight="1" s="26">
      <c r="A11" s="50" t="inlineStr">
        <is>
          <t>FG_MAKE_RATE</t>
        </is>
      </c>
      <c r="B11" s="56" t="n"/>
      <c r="C11" s="52" t="inlineStr">
        <is>
          <t>probability</t>
        </is>
      </c>
      <c r="D11" s="53" t="inlineStr">
        <is>
          <t>cfb_sim.py</t>
        </is>
      </c>
      <c r="E11" s="57" t="inlineStr">
        <is>
          <t>PLACEHOLDER</t>
        </is>
      </c>
      <c r="F11" s="55" t="inlineStr">
        <is>
          <t>Field-goal conversion rate (single rate or by-distance table — confirm structure from source).</t>
        </is>
      </c>
      <c r="G11" s="55" t="inlineStr">
        <is>
          <t>In cfb_sim.py; value not in recoverable chat history</t>
        </is>
      </c>
    </row>
    <row r="12" ht="23.85" customHeight="1" s="26">
      <c r="A12" s="50" t="inlineStr">
        <is>
          <t>DRIVE_P_TURNOVER</t>
        </is>
      </c>
      <c r="B12" s="56" t="n"/>
      <c r="C12" s="52" t="inlineStr">
        <is>
          <t>probability</t>
        </is>
      </c>
      <c r="D12" s="53" t="inlineStr">
        <is>
          <t>cfb_sim.py</t>
        </is>
      </c>
      <c r="E12" s="57" t="inlineStr">
        <is>
          <t>PLACEHOLDER</t>
        </is>
      </c>
      <c r="F12" s="55" t="inlineStr">
        <is>
          <t>Baseline drive -&gt; turnover probability.</t>
        </is>
      </c>
      <c r="G12" s="55" t="inlineStr">
        <is>
          <t>In cfb_sim.py; value not in recoverable chat history</t>
        </is>
      </c>
    </row>
    <row r="13" ht="23.85" customHeight="1" s="26">
      <c r="A13" s="50" t="inlineStr">
        <is>
          <t>DRIVE_TIME_MEAN</t>
        </is>
      </c>
      <c r="B13" s="56" t="n"/>
      <c r="C13" s="52" t="inlineStr">
        <is>
          <t>seconds</t>
        </is>
      </c>
      <c r="D13" s="53" t="inlineStr">
        <is>
          <t>cfb_sim.py</t>
        </is>
      </c>
      <c r="E13" s="57" t="inlineStr">
        <is>
          <t>PLACEHOLDER</t>
        </is>
      </c>
      <c r="F13" s="55" t="inlineStr">
        <is>
          <t>Mean drive duration used to burn game clock.</t>
        </is>
      </c>
      <c r="G13" s="55" t="inlineStr">
        <is>
          <t>In cfb_sim.py; value not in recoverable chat history</t>
        </is>
      </c>
    </row>
    <row r="14" ht="23.85" customHeight="1" s="26">
      <c r="A14" s="50" t="inlineStr">
        <is>
          <t>DRIVE_TIME_SD</t>
        </is>
      </c>
      <c r="B14" s="56" t="n"/>
      <c r="C14" s="52" t="inlineStr">
        <is>
          <t>seconds</t>
        </is>
      </c>
      <c r="D14" s="53" t="inlineStr">
        <is>
          <t>cfb_sim.py</t>
        </is>
      </c>
      <c r="E14" s="57" t="inlineStr">
        <is>
          <t>PLACEHOLDER</t>
        </is>
      </c>
      <c r="F14" s="55" t="inlineStr">
        <is>
          <t>Drive duration spread.</t>
        </is>
      </c>
      <c r="G14" s="55" t="inlineStr">
        <is>
          <t>In cfb_sim.py; value not in recoverable chat history</t>
        </is>
      </c>
    </row>
    <row r="15" ht="23.85" customHeight="1" s="26">
      <c r="A15" s="50" t="inlineStr">
        <is>
          <t>TWO_PT_CONV_RATE</t>
        </is>
      </c>
      <c r="B15" s="56" t="n"/>
      <c r="C15" s="52" t="inlineStr">
        <is>
          <t>probability</t>
        </is>
      </c>
      <c r="D15" s="53" t="inlineStr">
        <is>
          <t>cfb_sim.py</t>
        </is>
      </c>
      <c r="E15" s="57" t="inlineStr">
        <is>
          <t>PLACEHOLDER</t>
        </is>
      </c>
      <c r="F15" s="55" t="inlineStr">
        <is>
          <t>Two-point conversion success rate (drives OT2+ scoring).</t>
        </is>
      </c>
      <c r="G15" s="55" t="inlineStr">
        <is>
          <t>In cfb_sim.py; value not in recoverable chat history</t>
        </is>
      </c>
    </row>
    <row r="16" ht="23.85" customHeight="1" s="26">
      <c r="A16" s="50" t="inlineStr">
        <is>
          <t>XP_MAKE_RATE</t>
        </is>
      </c>
      <c r="B16" s="56" t="n"/>
      <c r="C16" s="52" t="inlineStr">
        <is>
          <t>probability</t>
        </is>
      </c>
      <c r="D16" s="53" t="inlineStr">
        <is>
          <t>cfb_sim.py</t>
        </is>
      </c>
      <c r="E16" s="57" t="inlineStr">
        <is>
          <t>PLACEHOLDER</t>
        </is>
      </c>
      <c r="F16" s="55" t="inlineStr">
        <is>
          <t>Extra-point conversion rate.</t>
        </is>
      </c>
      <c r="G16" s="55" t="inlineStr">
        <is>
          <t>In cfb_sim.py; value not in recoverable chat history</t>
        </is>
      </c>
    </row>
    <row r="18" ht="39.75" customHeight="1" s="26">
      <c r="A18" s="58" t="inlineStr">
        <is>
          <t>Yellow cells: extract exact values from cfb_sim.py and replace. This register is not load-ready until zero placeholders remain. Placeholder parameter names are descriptive of function, not guaranteed to match variable names in source — reconcile names on extraction.</t>
        </is>
      </c>
    </row>
  </sheetData>
  <mergeCells count="1">
    <mergeCell ref="A18:G18"/>
  </mergeCells>
  <printOptions horizontalCentered="0" verticalCentered="0" headings="0" gridLines="0" gridLinesSet="1"/>
  <pageMargins left="0.25" right="0.25" top="0.5" bottom="0.5" header="0.511811023622047" footer="0.511811023622047"/>
  <pageSetup orientation="landscape" paperSize="9" scale="100" fitToHeight="0" fitToWidth="1" pageOrder="downThenOver" blackAndWhite="0" draft="0" horizontalDpi="300" verticalDpi="300" copies="1"/>
</worksheet>
</file>

<file path=xl/worksheets/sheet23.xml><?xml version="1.0" encoding="utf-8"?>
<worksheet xmlns="http://schemas.openxmlformats.org/spreadsheetml/2006/main">
  <sheetPr filterMode="0">
    <tabColor rgb="00A5A5A5"/>
    <outlinePr summaryBelow="1" summaryRight="1"/>
    <pageSetUpPr fitToPage="1"/>
  </sheetPr>
  <dimension ref="A1:F11"/>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0" customWidth="1" style="39" min="1" max="1"/>
    <col width="12" customWidth="1" style="39" min="2" max="3"/>
    <col width="14" customWidth="1" style="39" min="4" max="4"/>
    <col width="16" customWidth="1" style="39" min="5" max="5"/>
    <col width="40" customWidth="1" style="39" min="6" max="6"/>
  </cols>
  <sheetData>
    <row r="1" ht="16.15" customHeight="1" s="26">
      <c r="A1" s="40" t="inlineStr">
        <is>
          <t>CALIBRATION — TARGET BANDS vs ACHIEVED (Jul 13-14 run)</t>
        </is>
      </c>
      <c r="B1" s="41" t="n"/>
      <c r="C1" s="41" t="n"/>
      <c r="D1" s="41" t="n"/>
      <c r="E1" s="41" t="n"/>
      <c r="F1" s="41" t="n"/>
    </row>
    <row r="2" ht="30" customHeight="1" s="26">
      <c r="A2" s="43" t="inlineStr">
        <is>
          <t>Achieved values from the calibrated engine run recorded in session history (8,000-game aggregate; harness printout used 5,000-6,000 game sweeps). Random cross-matchups of teams.json universe, seed base 100000.</t>
        </is>
      </c>
    </row>
    <row r="4" ht="15" customHeight="1" s="26">
      <c r="A4" s="49" t="inlineStr">
        <is>
          <t>Metric</t>
        </is>
      </c>
      <c r="B4" s="49" t="inlineStr">
        <is>
          <t>Band Lo</t>
        </is>
      </c>
      <c r="C4" s="49" t="inlineStr">
        <is>
          <t>Band Hi</t>
        </is>
      </c>
      <c r="D4" s="49" t="inlineStr">
        <is>
          <t>Achieved</t>
        </is>
      </c>
      <c r="E4" s="49" t="inlineStr">
        <is>
          <t>Verdict</t>
        </is>
      </c>
      <c r="F4" s="49" t="inlineStr">
        <is>
          <t>Notes</t>
        </is>
      </c>
    </row>
    <row r="5" ht="15" customHeight="1" s="26">
      <c r="A5" s="59" t="inlineStr">
        <is>
          <t>Points / team / game</t>
        </is>
      </c>
      <c r="B5" s="51" t="n">
        <v>27</v>
      </c>
      <c r="C5" s="51" t="n">
        <v>30</v>
      </c>
      <c r="D5" s="51" t="n">
        <v>28.4</v>
      </c>
      <c r="E5" s="60">
        <f>IF(D5="","N/A",IF(AND(D5&gt;=B5,D5&lt;=C5),"IN BAND","OUT OF BAND"))</f>
        <v/>
      </c>
      <c r="F5" s="55" t="n"/>
    </row>
    <row r="6" ht="51.75" customHeight="1" s="26">
      <c r="A6" s="59" t="inlineStr">
        <is>
          <t>Margin SD</t>
        </is>
      </c>
      <c r="B6" s="51" t="n">
        <v>16</v>
      </c>
      <c r="C6" s="51" t="n">
        <v>18</v>
      </c>
      <c r="D6" s="51" t="n">
        <v>20.2</v>
      </c>
      <c r="E6" s="60">
        <f>IF(D6="","N/A",IF(AND(D6&gt;=B6,D6&lt;=C6),"IN BAND","OUT OF BAND"))</f>
        <v/>
      </c>
      <c r="F6" s="55" t="inlineStr">
        <is>
          <t>Above band. Session summary records the sweep as hitting targets; the recorded achieved value does not sit inside the harness band. Re-verify against cfb_sim.py's current constants before accepting.</t>
        </is>
      </c>
    </row>
    <row r="7" ht="51.75" customHeight="1" s="26">
      <c r="A7" s="59" t="inlineStr">
        <is>
          <t>Drives / team / game</t>
        </is>
      </c>
      <c r="B7" s="51" t="n">
        <v>11</v>
      </c>
      <c r="C7" s="51" t="n">
        <v>13</v>
      </c>
      <c r="D7" s="56" t="n"/>
      <c r="E7" s="60">
        <f>IF(D7="","N/A",IF(AND(D7&gt;=B7,D7&lt;=C7),"IN BAND","OUT OF BAND"))</f>
        <v/>
      </c>
      <c r="F7" s="55" t="inlineStr">
        <is>
          <t>Achieved value not recorded in recoverable history — populate from a fresh calibration run.</t>
        </is>
      </c>
    </row>
    <row r="8" ht="15" customHeight="1" s="26">
      <c r="A8" s="59" t="inlineStr">
        <is>
          <t>Home win %</t>
        </is>
      </c>
      <c r="B8" s="51" t="n">
        <v>55</v>
      </c>
      <c r="C8" s="51" t="n">
        <v>60</v>
      </c>
      <c r="D8" s="51" t="n">
        <v>56.3</v>
      </c>
      <c r="E8" s="60">
        <f>IF(D8="","N/A",IF(AND(D8&gt;=B8,D8&lt;=C8),"IN BAND","OUT OF BAND"))</f>
        <v/>
      </c>
      <c r="F8" s="55" t="n"/>
    </row>
    <row r="9" ht="51.75" customHeight="1" s="26">
      <c r="A9" s="59" t="inlineStr">
        <is>
          <t>OT rate %</t>
        </is>
      </c>
      <c r="B9" s="51" t="n">
        <v>4</v>
      </c>
      <c r="C9" s="51" t="n">
        <v>6</v>
      </c>
      <c r="D9" s="51" t="n">
        <v>2.5</v>
      </c>
      <c r="E9" s="60">
        <f>IF(D9="","N/A",IF(AND(D9&gt;=B9,D9&lt;=C9),"IN BAND","OUT OF BAND"))</f>
        <v/>
      </c>
      <c r="F9" s="55" t="inlineStr">
        <is>
          <t>Below band. Same caveat as Margin SD — the recorded value is outside the harness target. Known open calibration item.</t>
        </is>
      </c>
    </row>
    <row r="11" ht="60" customHeight="1" s="26">
      <c r="A11" s="58" t="inlineStr">
        <is>
          <t>OPEN ITEM: two of four recorded achieved metrics fall outside their harness bands (Margin SD high, OT rate low). Either the bands were revised late in session and the revision was not captured, or calibration is genuinely incomplete. Resolve by rerunning the calibration harness against current cfb_sim.py and updating this sheet. Do not tune the committee engine against an unvalidated stat universe.</t>
        </is>
      </c>
    </row>
  </sheetData>
  <mergeCells count="2">
    <mergeCell ref="A2:F2"/>
    <mergeCell ref="A11:F11"/>
  </mergeCells>
  <printOptions horizontalCentered="0" verticalCentered="0" headings="0" gridLines="0" gridLinesSet="1"/>
  <pageMargins left="0.25" right="0.25" top="0.5" bottom="0.5" header="0.511811023622047" footer="0.511811023622047"/>
  <pageSetup orientation="landscape" paperSize="9" scale="100" fitToHeight="0" fitToWidth="1" pageOrder="downThenOver" blackAndWhite="0" draft="0" horizontalDpi="300" verticalDpi="300" copies="1"/>
</worksheet>
</file>

<file path=xl/worksheets/sheet24.xml><?xml version="1.0" encoding="utf-8"?>
<worksheet xmlns="http://schemas.openxmlformats.org/spreadsheetml/2006/main">
  <sheetPr filterMode="0">
    <tabColor rgb="00A5A5A5"/>
    <outlinePr summaryBelow="1" summaryRight="1"/>
    <pageSetUpPr fitToPage="1"/>
  </sheetPr>
  <dimension ref="A1:C7"/>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6" customWidth="1" style="39" min="1" max="1"/>
    <col width="60" customWidth="1" style="39" min="2" max="2"/>
    <col width="34" customWidth="1" style="39" min="3" max="3"/>
  </cols>
  <sheetData>
    <row r="1" ht="16.15" customHeight="1" s="26">
      <c r="A1" s="40" t="inlineStr">
        <is>
          <t>OVERTIME RULESET — IMPLEMENTED IN ENGINE</t>
        </is>
      </c>
      <c r="B1" s="41" t="n"/>
      <c r="C1" s="41" t="n"/>
    </row>
    <row r="2" ht="15" customHeight="1" s="26">
      <c r="A2" s="47" t="inlineStr">
        <is>
          <t>Ruleset verified current for 2024-25 NCAA seasons in the Jul 14 rules-research session and implemented in cfb_sim.py.</t>
        </is>
      </c>
    </row>
    <row r="4" ht="15" customHeight="1" s="26">
      <c r="A4" s="49" t="inlineStr">
        <is>
          <t>Period</t>
        </is>
      </c>
      <c r="B4" s="49" t="inlineStr">
        <is>
          <t>Rule</t>
        </is>
      </c>
      <c r="C4" s="49" t="inlineStr">
        <is>
          <t>Status</t>
        </is>
      </c>
    </row>
    <row r="5" ht="23.85" customHeight="1" s="26">
      <c r="A5" s="50" t="inlineStr">
        <is>
          <t>OT1</t>
        </is>
      </c>
      <c r="B5" s="55" t="inlineStr">
        <is>
          <t>Each team one possession from the opponent 25-yard line. PAT choice normal.</t>
        </is>
      </c>
      <c r="C5" s="54" t="inlineStr">
        <is>
          <t>VERIFIED</t>
        </is>
      </c>
    </row>
    <row r="6" ht="23.85" customHeight="1" s="26">
      <c r="A6" s="50" t="inlineStr">
        <is>
          <t>OT2</t>
        </is>
      </c>
      <c r="B6" s="55" t="inlineStr">
        <is>
          <t>Same possession structure from the 25; two-point attempt MANDATORY after any touchdown.</t>
        </is>
      </c>
      <c r="C6" s="54" t="inlineStr">
        <is>
          <t>VERIFIED</t>
        </is>
      </c>
    </row>
    <row r="7" ht="23.85" customHeight="1" s="26">
      <c r="A7" s="50" t="inlineStr">
        <is>
          <t>OT3+</t>
        </is>
      </c>
      <c r="B7" s="55" t="inlineStr">
        <is>
          <t>No possessions. Alternating single two-point conversion attempts until decided.</t>
        </is>
      </c>
      <c r="C7" s="54" t="inlineStr">
        <is>
          <t>VERIFIED</t>
        </is>
      </c>
    </row>
  </sheetData>
  <mergeCells count="1">
    <mergeCell ref="A2:C2"/>
  </mergeCells>
  <printOptions horizontalCentered="0" verticalCentered="0" headings="0" gridLines="0" gridLinesSet="1"/>
  <pageMargins left="0.25" right="0.25" top="0.5" bottom="0.5" header="0.511811023622047" footer="0.511811023622047"/>
  <pageSetup orientation="landscape" paperSize="9" scale="100" fitToHeight="0" fitToWidth="1" pageOrder="downThenOver" blackAndWhite="0" draft="0" horizontalDpi="300" verticalDpi="300" copies="1"/>
</worksheet>
</file>

<file path=xl/worksheets/sheet25.xml><?xml version="1.0" encoding="utf-8"?>
<worksheet xmlns="http://schemas.openxmlformats.org/spreadsheetml/2006/main">
  <sheetPr filterMode="0">
    <tabColor rgb="00A5A5A5"/>
    <outlinePr summaryBelow="1" summaryRight="1"/>
    <pageSetUpPr fitToPage="1"/>
  </sheetPr>
  <dimension ref="A1:E20"/>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8" customWidth="1" style="39" min="1" max="1"/>
    <col width="12" customWidth="1" style="39" min="2" max="3"/>
    <col width="14" customWidth="1" style="39" min="4" max="4"/>
    <col width="52" customWidth="1" style="39" min="5" max="5"/>
  </cols>
  <sheetData>
    <row r="1" ht="16.15" customHeight="1" s="26">
      <c r="A1" s="40" t="inlineStr">
        <is>
          <t>SELECTION COMMITTEE ENGINE — SSI / CAF (STATUS: UNPATCHED)</t>
        </is>
      </c>
      <c r="B1" s="41" t="n"/>
      <c r="C1" s="41" t="n"/>
      <c r="D1" s="41" t="n"/>
      <c r="E1" s="41" t="n"/>
    </row>
    <row r="2" ht="43.5" customHeight="1" s="26">
      <c r="A2" s="58" t="inlineStr">
        <is>
          <t>Original spec values as pressure-tested Jul 3, 2026. The engine FAILED that test on three critical structural grounds. These parameters are recorded for traceability, not endorsement. Do not wire into season.py until patched.</t>
        </is>
      </c>
    </row>
    <row r="4" ht="15" customHeight="1" s="26">
      <c r="A4" s="49" t="inlineStr">
        <is>
          <t>Parameter</t>
        </is>
      </c>
      <c r="B4" s="49" t="inlineStr">
        <is>
          <t>Value</t>
        </is>
      </c>
      <c r="C4" s="49" t="inlineStr">
        <is>
          <t>Units</t>
        </is>
      </c>
      <c r="D4" s="49" t="inlineStr">
        <is>
          <t>Status</t>
        </is>
      </c>
      <c r="E4" s="49" t="inlineStr">
        <is>
          <t>Definition</t>
        </is>
      </c>
    </row>
    <row r="5" ht="15" customHeight="1" s="26">
      <c r="A5" s="50" t="inlineStr">
        <is>
          <t>W_RESUME</t>
        </is>
      </c>
      <c r="B5" s="61" t="n">
        <v>0.45</v>
      </c>
      <c r="C5" s="52" t="inlineStr">
        <is>
          <t>weight</t>
        </is>
      </c>
      <c r="D5" s="57" t="inlineStr">
        <is>
          <t>UNPATCHED</t>
        </is>
      </c>
      <c r="E5" s="55" t="inlineStr">
        <is>
          <t>Resume Score weight in SSI.</t>
        </is>
      </c>
    </row>
    <row r="6" ht="15" customHeight="1" s="26">
      <c r="A6" s="50" t="inlineStr">
        <is>
          <t>W_EFFICIENCY</t>
        </is>
      </c>
      <c r="B6" s="61" t="n">
        <v>0.4</v>
      </c>
      <c r="C6" s="52" t="inlineStr">
        <is>
          <t>weight</t>
        </is>
      </c>
      <c r="D6" s="57" t="inlineStr">
        <is>
          <t>UNPATCHED</t>
        </is>
      </c>
      <c r="E6" s="55" t="inlineStr">
        <is>
          <t>Efficiency Score weight (Pythagorean Win Expectancy).</t>
        </is>
      </c>
    </row>
    <row r="7" ht="15" customHeight="1" s="26">
      <c r="A7" s="50" t="inlineStr">
        <is>
          <t>W_ENVIRONMENT</t>
        </is>
      </c>
      <c r="B7" s="61" t="n">
        <v>0.15</v>
      </c>
      <c r="C7" s="52" t="inlineStr">
        <is>
          <t>weight</t>
        </is>
      </c>
      <c r="D7" s="57" t="inlineStr">
        <is>
          <t>UNPATCHED</t>
        </is>
      </c>
      <c r="E7" s="55" t="inlineStr">
        <is>
          <t>Environment Modifier weight.</t>
        </is>
      </c>
    </row>
    <row r="8" ht="15" customHeight="1" s="26">
      <c r="A8" s="50" t="inlineStr">
        <is>
          <t>WEIGHT_SUM_CHECK</t>
        </is>
      </c>
      <c r="B8" s="62">
        <f>B5+B6+B7</f>
        <v/>
      </c>
      <c r="C8" s="52" t="inlineStr">
        <is>
          <t>—</t>
        </is>
      </c>
      <c r="D8" s="52" t="inlineStr">
        <is>
          <t>FORMULA</t>
        </is>
      </c>
      <c r="E8" s="55" t="inlineStr">
        <is>
          <t>Must equal 1.000.</t>
        </is>
      </c>
    </row>
    <row r="9" ht="35.05" customHeight="1" s="26">
      <c r="A9" s="50" t="inlineStr">
        <is>
          <t>CAF_RANGE</t>
        </is>
      </c>
      <c r="B9" s="56" t="n"/>
      <c r="C9" s="52" t="inlineStr">
        <is>
          <t>SSI pts</t>
        </is>
      </c>
      <c r="D9" s="57" t="inlineStr">
        <is>
          <t>PLACEHOLDER</t>
        </is>
      </c>
      <c r="E9" s="55" t="inlineStr">
        <is>
          <t>Chairman Adjustment Factor allowed swing. Exact bound not in recoverable history; pressure-test found it oversized vs compressed SSI range at top of board.</t>
        </is>
      </c>
    </row>
    <row r="11" ht="15" customHeight="1" s="26">
      <c r="A11" s="44" t="inlineStr">
        <is>
          <t>DEFECT REGISTER (Jul 3 pressure test) — FIX BEFORE USE</t>
        </is>
      </c>
      <c r="B11" s="45" t="n"/>
      <c r="C11" s="45" t="n"/>
      <c r="D11" s="45" t="n"/>
      <c r="E11" s="45" t="n"/>
    </row>
    <row r="12" ht="15" customHeight="1" s="26">
      <c r="A12" s="63" t="inlineStr">
        <is>
          <t>D-01 CRITICAL</t>
        </is>
      </c>
      <c r="B12" s="43" t="inlineStr">
        <is>
          <t>No strength-of-schedule component anywhere in the engine.</t>
        </is>
      </c>
    </row>
    <row r="13" ht="15" customHeight="1" s="26">
      <c r="A13" s="63" t="inlineStr">
        <is>
          <t>D-02 CRITICAL</t>
        </is>
      </c>
      <c r="B13" s="43" t="inlineStr">
        <is>
          <t>Pythagorean vector inverted vs stated purpose: rewards blowout-padding, penalizes close winners.</t>
        </is>
      </c>
    </row>
    <row r="14" ht="15" customHeight="1" s="26">
      <c r="A14" s="63" t="inlineStr">
        <is>
          <t>D-03 CRITICAL</t>
        </is>
      </c>
      <c r="B14" s="43" t="inlineStr">
        <is>
          <t>Scale normalization failure: 45/40/15 weights do not reflect actual influence at the decision margin.</t>
        </is>
      </c>
    </row>
    <row r="15" ht="15" customHeight="1" s="26">
      <c r="A15" s="42" t="inlineStr">
        <is>
          <t>D-04</t>
        </is>
      </c>
      <c r="B15" s="43" t="inlineStr">
        <is>
          <t>Conference game double-counting.</t>
        </is>
      </c>
    </row>
    <row r="16" ht="23.85" customHeight="1" s="26">
      <c r="A16" s="42" t="inlineStr">
        <is>
          <t>D-05</t>
        </is>
      </c>
      <c r="B16" s="43" t="inlineStr">
        <is>
          <t>Collinearity across all three vectors; single exploit path games all three via low-integrity scheduling + margin padding.</t>
        </is>
      </c>
    </row>
    <row r="17" ht="15" customHeight="1" s="26">
      <c r="A17" s="42" t="inlineStr">
        <is>
          <t>D-06</t>
        </is>
      </c>
      <c r="B17" s="43" t="inlineStr">
        <is>
          <t>CAF swing oversized vs compressed SSI range at top of board.</t>
        </is>
      </c>
    </row>
    <row r="18" ht="15" customHeight="1" s="26">
      <c r="A18" s="42" t="inlineStr">
        <is>
          <t>D-07</t>
        </is>
      </c>
      <c r="B18" s="43" t="inlineStr">
        <is>
          <t>Early-season penalty from zero-denominator imputation.</t>
        </is>
      </c>
    </row>
    <row r="19" ht="15" customHeight="1" s="26">
      <c r="A19" s="42" t="inlineStr">
        <is>
          <t>D-08</t>
        </is>
      </c>
      <c r="B19" s="43" t="inlineStr">
        <is>
          <t>Neutral-site games invisible.</t>
        </is>
      </c>
    </row>
    <row r="20" ht="15" customHeight="1" s="26">
      <c r="A20" s="42" t="inlineStr">
        <is>
          <t>D-09</t>
        </is>
      </c>
      <c r="B20" s="43" t="inlineStr">
        <is>
          <t>No deterministic tiebreak rule.</t>
        </is>
      </c>
    </row>
  </sheetData>
  <mergeCells count="10">
    <mergeCell ref="B17:E17"/>
    <mergeCell ref="B18:E18"/>
    <mergeCell ref="A2:E2"/>
    <mergeCell ref="B12:E12"/>
    <mergeCell ref="B13:E13"/>
    <mergeCell ref="B16:E16"/>
    <mergeCell ref="B15:E15"/>
    <mergeCell ref="B19:E19"/>
    <mergeCell ref="B20:E20"/>
    <mergeCell ref="B14:E14"/>
  </mergeCells>
  <printOptions horizontalCentered="0" verticalCentered="0" headings="0" gridLines="0" gridLinesSet="1"/>
  <pageMargins left="0.25" right="0.25" top="0.5" bottom="0.5" header="0.511811023622047" footer="0.511811023622047"/>
  <pageSetup orientation="landscape" paperSize="9" scale="100" fitToHeight="0" fitToWidth="1" pageOrder="downThenOver" blackAndWhite="0" draft="0" horizontalDpi="300" verticalDpi="300" copies="1"/>
</worksheet>
</file>

<file path=xl/worksheets/sheet26.xml><?xml version="1.0" encoding="utf-8"?>
<worksheet xmlns="http://schemas.openxmlformats.org/spreadsheetml/2006/main">
  <sheetPr filterMode="0">
    <tabColor rgb="00A5A5A5"/>
    <outlinePr summaryBelow="1" summaryRight="1"/>
    <pageSetUpPr fitToPage="1"/>
  </sheetPr>
  <dimension ref="A1:D6"/>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2" customWidth="1" style="39" min="1" max="2"/>
    <col width="60" customWidth="1" style="39" min="3" max="3"/>
    <col width="20" customWidth="1" style="39" min="4" max="4"/>
  </cols>
  <sheetData>
    <row r="1" ht="16.15" customHeight="1" s="26">
      <c r="A1" s="40" t="inlineStr">
        <is>
          <t>CHANGE LOG</t>
        </is>
      </c>
      <c r="B1" s="41" t="n"/>
      <c r="C1" s="41" t="n"/>
      <c r="D1" s="41" t="n"/>
    </row>
    <row r="3" ht="15" customHeight="1" s="26">
      <c r="A3" s="49" t="inlineStr">
        <is>
          <t>Version</t>
        </is>
      </c>
      <c r="B3" s="49" t="inlineStr">
        <is>
          <t>Date</t>
        </is>
      </c>
      <c r="C3" s="49" t="inlineStr">
        <is>
          <t>Change</t>
        </is>
      </c>
      <c r="D3" s="49" t="inlineStr">
        <is>
          <t>By</t>
        </is>
      </c>
    </row>
    <row r="4" ht="55.5" customHeight="1" s="26">
      <c r="A4" s="59" t="inlineStr">
        <is>
          <t>v1.0</t>
        </is>
      </c>
      <c r="B4" s="51" t="inlineStr">
        <is>
          <t>2026-07-22</t>
        </is>
      </c>
      <c r="C4" s="55" t="inlineStr">
        <is>
          <t>Initial register created from chat-history reconstruction of the Jul 13-14 engine/calibration session, Jul 14 rules research, and Jul 3 committee pressure test. 13 engine parameters (5 verified, 8 placeholder), calibration bands with 2 out-of-band flags, OT ruleset, committee defect register.</t>
        </is>
      </c>
      <c r="D4" s="52" t="inlineStr">
        <is>
          <t>Claude</t>
        </is>
      </c>
    </row>
    <row r="5" ht="55.5" customHeight="1" s="26">
      <c r="A5" s="59" t="inlineStr">
        <is>
          <t>v1.1</t>
        </is>
      </c>
      <c r="B5" s="51" t="n"/>
      <c r="C5" s="55" t="inlineStr">
        <is>
          <t>PENDING: extract drive-model constants from cfb_sim.py, resolve calibration band discrepancy, confirm CAF bound.</t>
        </is>
      </c>
      <c r="D5" s="52" t="n"/>
    </row>
    <row r="6">
      <c r="A6" s="39" t="inlineStr">
        <is>
          <t>v2.4</t>
        </is>
      </c>
      <c r="B6" s="39" t="inlineStr">
        <is>
          <t>2026-07-22</t>
        </is>
      </c>
      <c r="C6" s="39" t="inlineStr">
        <is>
          <t>Schedule v5 promoted: G0003 UVA home vs NCSU; W1/date/conference status unchanged.</t>
        </is>
      </c>
      <c r="D6" s="39" t="inlineStr">
        <is>
          <t>R-2026-CAL-01 / R-2026-ACC-NCSU-UVA-01</t>
        </is>
      </c>
    </row>
  </sheetData>
  <printOptions horizontalCentered="0" verticalCentered="0" headings="0" gridLines="0" gridLinesSet="1"/>
  <pageMargins left="0.25" right="0.25" top="0.5" bottom="0.5" header="0.511811023622047" footer="0.511811023622047"/>
  <pageSetup orientation="landscape" paperSize="9" scale="100" fitToHeight="0" fitToWidth="1" pageOrder="downThenOver" blackAndWhite="0" draft="0" horizontalDpi="300" verticalDpi="300" copies="1"/>
</worksheet>
</file>

<file path=xl/worksheets/sheet27.xml><?xml version="1.0" encoding="utf-8"?>
<worksheet xmlns="http://schemas.openxmlformats.org/spreadsheetml/2006/main">
  <sheetPr>
    <outlinePr summaryBelow="1" summaryRight="1"/>
    <pageSetUpPr/>
  </sheetPr>
  <dimension ref="A1:H13"/>
  <sheetViews>
    <sheetView showGridLines="0" workbookViewId="0">
      <pane ySplit="2" topLeftCell="A3" activePane="bottomLeft" state="frozen"/>
      <selection pane="bottomLeft" activeCell="A1" sqref="A1"/>
    </sheetView>
  </sheetViews>
  <sheetFormatPr baseColWidth="8" defaultRowHeight="15"/>
  <cols>
    <col width="24" customWidth="1" style="26" min="1" max="1"/>
    <col width="38" customWidth="1" style="26" min="2" max="2"/>
    <col width="38" customWidth="1" style="26" min="3" max="3"/>
    <col width="16" customWidth="1" style="26" min="4" max="4"/>
    <col width="30" customWidth="1" style="26" min="5" max="5"/>
    <col width="30" customWidth="1" style="26" min="6" max="6"/>
    <col width="14" customWidth="1" style="26" min="7" max="7"/>
    <col width="42" customWidth="1" style="26" min="8" max="8"/>
  </cols>
  <sheetData>
    <row r="1">
      <c r="A1" s="73" t="inlineStr">
        <is>
          <t>SCHEDULE v5 AUTHORITATIVE CHANGE — G0003</t>
        </is>
      </c>
      <c r="B1" s="73" t="n"/>
      <c r="C1" s="73" t="n"/>
      <c r="D1" s="73" t="n"/>
      <c r="E1" s="73" t="n"/>
      <c r="F1" s="73" t="n"/>
      <c r="G1" s="73" t="n"/>
      <c r="H1" s="73" t="n"/>
    </row>
    <row r="2">
      <c r="A2" s="74" t="inlineStr">
        <is>
          <t>field</t>
        </is>
      </c>
      <c r="B2" s="74" t="inlineStr">
        <is>
          <t>v4 value</t>
        </is>
      </c>
      <c r="C2" s="74" t="inlineStr">
        <is>
          <t>v5 value</t>
        </is>
      </c>
      <c r="D2" s="74" t="inlineStr">
        <is>
          <t>status</t>
        </is>
      </c>
      <c r="E2" s="74" t="inlineStr">
        <is>
          <t>ruling</t>
        </is>
      </c>
      <c r="F2" s="74" t="inlineStr">
        <is>
          <t>source</t>
        </is>
      </c>
      <c r="G2" s="74" t="inlineStr">
        <is>
          <t>validation</t>
        </is>
      </c>
      <c r="H2" s="74" t="inlineStr">
        <is>
          <t>notes</t>
        </is>
      </c>
    </row>
    <row r="3">
      <c r="A3" s="29" t="inlineStr">
        <is>
          <t>game_id</t>
        </is>
      </c>
      <c r="B3" s="29" t="inlineStr">
        <is>
          <t>G0003</t>
        </is>
      </c>
      <c r="C3" s="29" t="inlineStr">
        <is>
          <t>G0003</t>
        </is>
      </c>
      <c r="D3" s="29" t="inlineStr">
        <is>
          <t>UNCHANGED</t>
        </is>
      </c>
      <c r="E3" s="29" t="inlineStr">
        <is>
          <t>R-2026-ACC-NCSU-UVA-01</t>
        </is>
      </c>
      <c r="F3" s="29" t="inlineStr">
        <is>
          <t>Schedule v4 direct inspection</t>
        </is>
      </c>
      <c r="G3" s="29" t="inlineStr">
        <is>
          <t>PASS</t>
        </is>
      </c>
      <c r="H3" s="29" t="inlineStr">
        <is>
          <t>Single fixture.</t>
        </is>
      </c>
    </row>
    <row r="4">
      <c r="A4" s="29" t="inlineStr">
        <is>
          <t>week</t>
        </is>
      </c>
      <c r="B4" s="29" t="inlineStr">
        <is>
          <t>W1</t>
        </is>
      </c>
      <c r="C4" s="29" t="inlineStr">
        <is>
          <t>W1</t>
        </is>
      </c>
      <c r="D4" s="29" t="inlineStr">
        <is>
          <t>UNCHANGED</t>
        </is>
      </c>
      <c r="E4" s="29" t="inlineStr">
        <is>
          <t>R-2026-CAL-01</t>
        </is>
      </c>
      <c r="F4" s="29" t="inlineStr">
        <is>
          <t>Schedule v4 + Chairman approval</t>
        </is>
      </c>
      <c r="G4" s="29" t="inlineStr">
        <is>
          <t>PASS</t>
        </is>
      </c>
      <c r="H4" s="29" t="inlineStr">
        <is>
          <t>No Week 0.</t>
        </is>
      </c>
    </row>
    <row r="5">
      <c r="A5" s="29" t="inlineStr">
        <is>
          <t>date</t>
        </is>
      </c>
      <c r="B5" s="29" t="inlineStr">
        <is>
          <t>2026-08-29</t>
        </is>
      </c>
      <c r="C5" s="29" t="inlineStr">
        <is>
          <t>2026-08-29</t>
        </is>
      </c>
      <c r="D5" s="29" t="inlineStr">
        <is>
          <t>UNCHANGED</t>
        </is>
      </c>
      <c r="E5" s="29" t="inlineStr">
        <is>
          <t>R-2026-CAL-01</t>
        </is>
      </c>
      <c r="F5" s="29" t="inlineStr">
        <is>
          <t>Schedule v4 + Chairman approval</t>
        </is>
      </c>
      <c r="G5" s="29" t="inlineStr">
        <is>
          <t>PASS</t>
        </is>
      </c>
      <c r="H5" s="29" t="n"/>
    </row>
    <row r="6">
      <c r="A6" s="29" t="inlineStr">
        <is>
          <t>home_team</t>
        </is>
      </c>
      <c r="B6" s="29" t="inlineStr">
        <is>
          <t>NCSU</t>
        </is>
      </c>
      <c r="C6" s="29" t="inlineStr">
        <is>
          <t>UVA</t>
        </is>
      </c>
      <c r="D6" s="29" t="inlineStr">
        <is>
          <t>CHANGED</t>
        </is>
      </c>
      <c r="E6" s="29" t="inlineStr">
        <is>
          <t>R-2026-ACC-NCSU-UVA-01</t>
        </is>
      </c>
      <c r="F6" s="29" t="inlineStr">
        <is>
          <t>Chairman approval</t>
        </is>
      </c>
      <c r="G6" s="29" t="inlineStr">
        <is>
          <t>PASS</t>
        </is>
      </c>
      <c r="H6" s="29" t="inlineStr">
        <is>
          <t>Virginia home field.</t>
        </is>
      </c>
    </row>
    <row r="7">
      <c r="A7" s="29" t="inlineStr">
        <is>
          <t>away_team</t>
        </is>
      </c>
      <c r="B7" s="29" t="inlineStr">
        <is>
          <t>UVA</t>
        </is>
      </c>
      <c r="C7" s="29" t="inlineStr">
        <is>
          <t>NCSU</t>
        </is>
      </c>
      <c r="D7" s="29" t="inlineStr">
        <is>
          <t>CHANGED</t>
        </is>
      </c>
      <c r="E7" s="29" t="inlineStr">
        <is>
          <t>R-2026-ACC-NCSU-UVA-01</t>
        </is>
      </c>
      <c r="F7" s="29" t="inlineStr">
        <is>
          <t>Chairman approval</t>
        </is>
      </c>
      <c r="G7" s="29" t="inlineStr">
        <is>
          <t>PASS</t>
        </is>
      </c>
      <c r="H7" s="29" t="n"/>
    </row>
    <row r="8">
      <c r="A8" s="29" t="inlineStr">
        <is>
          <t>venue</t>
        </is>
      </c>
      <c r="B8" s="29" t="inlineStr">
        <is>
          <t>NEUTRAL</t>
        </is>
      </c>
      <c r="C8" s="29" t="inlineStr">
        <is>
          <t>HOME</t>
        </is>
      </c>
      <c r="D8" s="29" t="inlineStr">
        <is>
          <t>CHANGED</t>
        </is>
      </c>
      <c r="E8" s="29" t="inlineStr">
        <is>
          <t>R-2026-ACC-NCSU-UVA-01</t>
        </is>
      </c>
      <c r="F8" s="29" t="inlineStr">
        <is>
          <t>Chairman approval</t>
        </is>
      </c>
      <c r="G8" s="29" t="inlineStr">
        <is>
          <t>PASS</t>
        </is>
      </c>
      <c r="H8" s="29" t="inlineStr">
        <is>
          <t>No longer neutral.</t>
        </is>
      </c>
    </row>
    <row r="9">
      <c r="A9" s="29" t="inlineStr">
        <is>
          <t>conference_game</t>
        </is>
      </c>
      <c r="B9" s="29" t="inlineStr">
        <is>
          <t>Y</t>
        </is>
      </c>
      <c r="C9" s="29" t="inlineStr">
        <is>
          <t>Y</t>
        </is>
      </c>
      <c r="D9" s="29" t="inlineStr">
        <is>
          <t>UNCHANGED</t>
        </is>
      </c>
      <c r="E9" s="29" t="inlineStr">
        <is>
          <t>R-2026-ACC-NCSU-UVA-01</t>
        </is>
      </c>
      <c r="F9" s="29" t="inlineStr">
        <is>
          <t>Schedule v4 + Chairman approval</t>
        </is>
      </c>
      <c r="G9" s="29" t="inlineStr">
        <is>
          <t>PASS</t>
        </is>
      </c>
      <c r="H9" s="29" t="inlineStr">
        <is>
          <t>Counts in ACC standings.</t>
        </is>
      </c>
    </row>
    <row r="10">
      <c r="A10" s="29" t="inlineStr">
        <is>
          <t>total_games</t>
        </is>
      </c>
      <c r="B10" s="29" t="inlineStr">
        <is>
          <t>743</t>
        </is>
      </c>
      <c r="C10" s="29" t="inlineStr">
        <is>
          <t>743</t>
        </is>
      </c>
      <c r="D10" s="29" t="inlineStr">
        <is>
          <t>UNCHANGED</t>
        </is>
      </c>
      <c r="E10" s="29" t="inlineStr">
        <is>
          <t>Schedule governance</t>
        </is>
      </c>
      <c r="F10" s="29" t="inlineStr">
        <is>
          <t>Schedule row count</t>
        </is>
      </c>
      <c r="G10" s="29" t="inlineStr">
        <is>
          <t>PASS</t>
        </is>
      </c>
      <c r="H10" s="29" t="inlineStr">
        <is>
          <t>No insert; update only.</t>
        </is>
      </c>
    </row>
    <row r="11">
      <c r="A11" s="29" t="inlineStr">
        <is>
          <t>schedule_authority</t>
        </is>
      </c>
      <c r="B11" s="29" t="inlineStr">
        <is>
          <t>v4</t>
        </is>
      </c>
      <c r="C11" s="29" t="inlineStr">
        <is>
          <t>v5</t>
        </is>
      </c>
      <c r="D11" s="29" t="inlineStr">
        <is>
          <t>SUPERSEDED</t>
        </is>
      </c>
      <c r="E11" s="29" t="inlineStr">
        <is>
          <t>Chairman approval</t>
        </is>
      </c>
      <c r="F11" s="29" t="inlineStr">
        <is>
          <t>This release</t>
        </is>
      </c>
      <c r="G11" s="29" t="inlineStr">
        <is>
          <t>PASS</t>
        </is>
      </c>
      <c r="H11" s="29" t="inlineStr">
        <is>
          <t>v5 is authoritative.</t>
        </is>
      </c>
    </row>
    <row r="12">
      <c r="A12" s="29" t="inlineStr">
        <is>
          <t>schedule_binary_sha256</t>
        </is>
      </c>
      <c r="B12" s="29" t="inlineStr">
        <is>
          <t>8d4d5112aa52cfb51895c95d104e3c5e1821813e3b481a4f1b3067668d0af57b</t>
        </is>
      </c>
      <c r="C12" s="29" t="inlineStr">
        <is>
          <t>db26c3fff15a61ce8e7efa3b93100fa017e02248c96076d291495b55e855da12</t>
        </is>
      </c>
      <c r="D12" s="29" t="inlineStr">
        <is>
          <t>CHANGED</t>
        </is>
      </c>
      <c r="E12" s="29" t="inlineStr">
        <is>
          <t>Artifact hashing</t>
        </is>
      </c>
      <c r="F12" s="29" t="inlineStr">
        <is>
          <t>Calculated locally</t>
        </is>
      </c>
      <c r="G12" s="29" t="inlineStr">
        <is>
          <t>PASS</t>
        </is>
      </c>
      <c r="H12" s="29" t="n"/>
    </row>
    <row r="13">
      <c r="A13" s="29" t="inlineStr">
        <is>
          <t>games_content_sha256</t>
        </is>
      </c>
      <c r="B13" s="29" t="n"/>
      <c r="C13" s="29" t="inlineStr">
        <is>
          <t>bd8089f70f6d483a75564e33438272c22daade8e53619fb21a915778975ff221</t>
        </is>
      </c>
      <c r="D13" s="29" t="inlineStr">
        <is>
          <t>NEW</t>
        </is>
      </c>
      <c r="E13" s="29" t="inlineStr">
        <is>
          <t>Certification method</t>
        </is>
      </c>
      <c r="F13" s="29" t="inlineStr">
        <is>
          <t>Canonical CSV serialization</t>
        </is>
      </c>
      <c r="G13" s="29" t="inlineStr">
        <is>
          <t>PASS</t>
        </is>
      </c>
      <c r="H13" s="29" t="inlineStr">
        <is>
          <t>Method documented in schedule Certification.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OpenAI with Chairman-approved source package</dc:creator>
  <dc:title xmlns:dc="http://purl.org/dc/elements/1.1/">Model Parameters v2.2 Approved</dc:title>
  <dc:subject xmlns:dc="http://purl.org/dc/elements/1.1/">Governed 2026 synthetic NCAA parameters and Power Crunch v3 research information</dc:subject>
  <dc:language xmlns:dc="http://purl.org/dc/elements/1.1/">en-US</dc:language>
  <dcterms:created xmlns:dcterms="http://purl.org/dc/terms/" xmlns:xsi="http://www.w3.org/2001/XMLSchema-instance" xsi:type="dcterms:W3CDTF">2026-07-22T19:38:17Z</dcterms:created>
  <dcterms:modified xmlns:dcterms="http://purl.org/dc/terms/" xmlns:xsi="http://www.w3.org/2001/XMLSchema-instance" xsi:type="dcterms:W3CDTF">2026-07-22T21:10:04Z</dcterms:modified>
  <cp:revision>0</cp:revision>
</cp:coreProperties>
</file>