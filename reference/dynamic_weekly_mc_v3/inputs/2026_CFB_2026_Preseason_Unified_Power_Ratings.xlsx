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aster Ratings" sheetId="1" state="visible" r:id="rId3"/>
    <sheet name="Ensemble Parameters" sheetId="2" state="visible" r:id="rId4"/>
    <sheet name="Data Dictionary" sheetId="3" state="visible" r:id="rId5"/>
    <sheet name="Validation" sheetId="4" state="visible" r:id="rId6"/>
    <sheet name="Sources" sheetId="5" state="visible" r:id="rId7"/>
  </sheets>
  <definedNames>
    <definedName function="false" hidden="true" localSheetId="0" name="_xlnm._FilterDatabase" vbProcedure="false">'Master Ratings'!$A$4:$BZ$125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OpenAI</author>
  </authors>
  <commentList>
    <comment ref="AV4" authorId="0">
      <text>
        <r>
          <rPr>
            <sz val="10"/>
            <rFont val="Arial"/>
            <family val="2"/>
          </rPr>
          <t xml:space="preserve">No SP+ values were produced in the supplied workbook. Column intentionally blank.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3</xdr:row>
                <xdr:rowOff>15</xdr:rowOff>
              </xdr:to>
            </anchor>
          </commentPr>
        </mc:Choice>
        <mc:Fallback/>
      </mc:AlternateContent>
    </comment>
    <comment ref="AY4" authorId="0">
      <text>
        <r>
          <rPr>
            <sz val="10"/>
            <rFont val="Arial"/>
            <family val="2"/>
          </rPr>
          <t xml:space="preserve">Preseason initialization only; seeded from the existing Litkenhous market-projection prior, not an independent active-season Billingsley result.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3</xdr:row>
                <xdr:rowOff>15</xdr:rowOff>
              </xdr:to>
            </anchor>
          </commentPr>
        </mc:Choice>
        <mc:Fallback/>
      </mc:AlternateContent>
    </comment>
    <comment ref="BF4" authorId="0">
      <text>
        <r>
          <rPr>
            <sz val="10"/>
            <rFont val="Arial"/>
            <family val="2"/>
          </rPr>
          <t xml:space="preserve">Schedule-connectivity PageRank only. This measures topology/connectivity, not team strength.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3</xdr:row>
                <xdr:rowOff>15</xdr:rowOff>
              </xdr:to>
            </anchor>
          </commentPr>
        </mc:Choice>
        <mc:Fallback/>
      </mc:AlternateContent>
    </comment>
    <comment ref="BK4" authorId="0">
      <text>
        <r>
          <rPr>
            <sz val="10"/>
            <rFont val="Arial"/>
            <family val="2"/>
          </rPr>
          <t xml:space="preserve">No performance Markov rating was produced because 2026 outcomes do not yet exist.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3</xdr:row>
                <xdr:rowOff>15</xdr:rowOff>
              </xdr:to>
            </anchor>
          </commentPr>
        </mc:Choice>
        <mc:Fallback/>
      </mc:AlternateContent>
    </comment>
    <comment ref="BM4" authorId="0">
      <text>
        <r>
          <rPr>
            <sz val="10"/>
            <rFont val="Arial"/>
            <family val="2"/>
          </rPr>
          <t xml:space="preserve">Derived ensemble field. See Ensemble Parameters sheet for formula, weights, and governance rules.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3</xdr:row>
                <xdr:rowOff>15</xdr:rowOff>
              </xdr:to>
            </anchor>
          </commentPr>
        </mc:Choice>
        <mc:Fallback/>
      </mc:AlternateContent>
    </comment>
    <comment ref="BN4" authorId="0">
      <text>
        <r>
          <rPr>
            <sz val="10"/>
            <rFont val="Arial"/>
            <family val="2"/>
          </rPr>
          <t xml:space="preserve">Derived ensemble field. See Ensemble Parameters sheet for formula, weights, and governance rules.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3</xdr:row>
                <xdr:rowOff>15</xdr:rowOff>
              </xdr:to>
            </anchor>
          </commentPr>
        </mc:Choice>
        <mc:Fallback/>
      </mc:AlternateContent>
    </comment>
    <comment ref="BO4" authorId="0">
      <text>
        <r>
          <rPr>
            <sz val="10"/>
            <rFont val="Arial"/>
            <family val="2"/>
          </rPr>
          <t xml:space="preserve">Derived ensemble field. See Ensemble Parameters sheet for formula, weights, and governance rules.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3</xdr:row>
                <xdr:rowOff>15</xdr:rowOff>
              </xdr:to>
            </anchor>
          </commentPr>
        </mc:Choice>
        <mc:Fallback/>
      </mc:AlternateContent>
    </comment>
    <comment ref="BP4" authorId="0">
      <text>
        <r>
          <rPr>
            <sz val="10"/>
            <rFont val="Arial"/>
            <family val="2"/>
          </rPr>
          <t xml:space="preserve">Derived ensemble field. See Ensemble Parameters sheet for formula, weights, and governance rules.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3</xdr:row>
                <xdr:rowOff>15</xdr:rowOff>
              </xdr:to>
            </anchor>
          </commentPr>
        </mc:Choice>
        <mc:Fallback/>
      </mc:AlternateContent>
    </comment>
    <comment ref="BQ4" authorId="0">
      <text>
        <r>
          <rPr>
            <sz val="10"/>
            <rFont val="Arial"/>
            <family val="2"/>
          </rPr>
          <t xml:space="preserve">Derived ensemble field. See Ensemble Parameters sheet for formula, weights, and governance rules.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3</xdr:row>
                <xdr:rowOff>15</xdr:rowOff>
              </xdr:to>
            </anchor>
          </commentPr>
        </mc:Choice>
        <mc:Fallback/>
      </mc:AlternateContent>
    </comment>
    <comment ref="BR4" authorId="0">
      <text>
        <r>
          <rPr>
            <sz val="10"/>
            <rFont val="Arial"/>
            <family val="2"/>
          </rPr>
          <t xml:space="preserve">Derived ensemble field. See Ensemble Parameters sheet for formula, weights, and governance rules.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3</xdr:row>
                <xdr:rowOff>15</xdr:rowOff>
              </xdr:to>
            </anchor>
          </commentPr>
        </mc:Choice>
        <mc:Fallback/>
      </mc:AlternateContent>
    </comment>
    <comment ref="BS4" authorId="0">
      <text>
        <r>
          <rPr>
            <sz val="10"/>
            <rFont val="Arial"/>
            <family val="2"/>
          </rPr>
          <t xml:space="preserve">Derived ensemble field. See Ensemble Parameters sheet for formula, weights, and governance rules.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3</xdr:row>
                <xdr:rowOff>15</xdr:rowOff>
              </xdr:to>
            </anchor>
          </commentPr>
        </mc:Choice>
        <mc:Fallback/>
      </mc:AlternateContent>
    </comment>
    <comment ref="BT4" authorId="0">
      <text>
        <r>
          <rPr>
            <sz val="10"/>
            <rFont val="Arial"/>
            <family val="2"/>
          </rPr>
          <t xml:space="preserve">Derived ensemble field. See Ensemble Parameters sheet for formula, weights, and governance rules.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3</xdr:row>
                <xdr:rowOff>15</xdr:rowOff>
              </xdr:to>
            </anchor>
          </commentPr>
        </mc:Choice>
        <mc:Fallback/>
      </mc:AlternateContent>
    </comment>
    <comment ref="BU4" authorId="0">
      <text>
        <r>
          <rPr>
            <sz val="10"/>
            <rFont val="Arial"/>
            <family val="2"/>
          </rPr>
          <t xml:space="preserve">Derived ensemble field. See Ensemble Parameters sheet for formula, weights, and governance rules.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3</xdr:row>
                <xdr:rowOff>15</xdr:rowOff>
              </xdr:to>
            </anchor>
          </commentPr>
        </mc:Choice>
        <mc:Fallback/>
      </mc:AlternateContent>
    </comment>
    <comment ref="BV4" authorId="0">
      <text>
        <r>
          <rPr>
            <sz val="10"/>
            <rFont val="Arial"/>
            <family val="2"/>
          </rPr>
          <t xml:space="preserve">Derived ensemble field. See Ensemble Parameters sheet for formula, weights, and governance rules.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3</xdr:row>
                <xdr:rowOff>15</xdr:rowOff>
              </xdr:to>
            </anchor>
          </commentPr>
        </mc:Choice>
        <mc:Fallback/>
      </mc:AlternateContent>
    </comment>
    <comment ref="BW4" authorId="0">
      <text>
        <r>
          <rPr>
            <sz val="10"/>
            <rFont val="Arial"/>
            <family val="2"/>
          </rPr>
          <t xml:space="preserve">Derived ensemble field. See Ensemble Parameters sheet for formula, weights, and governance rules.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3</xdr:row>
                <xdr:rowOff>15</xdr:rowOff>
              </xdr:to>
            </anchor>
          </commentPr>
        </mc:Choice>
        <mc:Fallback/>
      </mc:AlternateContent>
    </comment>
    <comment ref="BX4" authorId="0">
      <text>
        <r>
          <rPr>
            <sz val="10"/>
            <rFont val="Arial"/>
            <family val="2"/>
          </rPr>
          <t xml:space="preserve">Derived ensemble field. See Ensemble Parameters sheet for formula, weights, and governance rules.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3</xdr:row>
                <xdr:rowOff>15</xdr:rowOff>
              </xdr:to>
            </anchor>
          </commentPr>
        </mc:Choice>
        <mc:Fallback/>
      </mc:AlternateContent>
    </comment>
    <comment ref="BY4" authorId="0">
      <text>
        <r>
          <rPr>
            <sz val="10"/>
            <rFont val="Arial"/>
            <family val="2"/>
          </rPr>
          <t xml:space="preserve">Derived ensemble field. See Ensemble Parameters sheet for formula, weights, and governance rules.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3</xdr:row>
                <xdr:rowOff>15</xdr:rowOff>
              </xdr:to>
            </anchor>
          </commentPr>
        </mc:Choice>
        <mc:Fallback/>
      </mc:AlternateContent>
    </comment>
    <comment ref="BZ4" authorId="0">
      <text>
        <r>
          <rPr>
            <sz val="10"/>
            <rFont val="Arial"/>
            <family val="2"/>
          </rPr>
          <t xml:space="preserve">Derived ensemble field. See Ensemble Parameters sheet for formula, weights, and governance rules.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3</xdr:row>
                <xdr:rowOff>15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<sst xmlns="http://schemas.openxmlformats.org/spreadsheetml/2006/main" count="2156" uniqueCount="531">
  <si>
    <t xml:space="preserve">2026 Synthetic CFB Preseason Ratings Master — Unified Ensemble</t>
  </si>
  <si>
    <t xml:space="preserve">Separate source ratings plus a governed four-family unified preseason power rating: 25% TrueSkill, 25% Litkenhous, 25% Pure Baxter, and 25% Board family (12.5% Board I-H + 12.5% Board J-B).</t>
  </si>
  <si>
    <t xml:space="preserve">Conference</t>
  </si>
  <si>
    <t xml:space="preserve">Team</t>
  </si>
  <si>
    <t xml:space="preserve">Short</t>
  </si>
  <si>
    <t xml:space="preserve">Master Team ID</t>
  </si>
  <si>
    <t xml:space="preserve">Schedule ID</t>
  </si>
  <si>
    <t xml:space="preserve">TrueSkill 2026 Preseason μ</t>
  </si>
  <si>
    <t xml:space="preserve">TrueSkill Rank</t>
  </si>
  <si>
    <t xml:space="preserve">TrueSkill σ</t>
  </si>
  <si>
    <t xml:space="preserve">TrueSkill μ−3σ</t>
  </si>
  <si>
    <t xml:space="preserve">TrueSkill Carryover Status</t>
  </si>
  <si>
    <t xml:space="preserve">TrueSkill Prior Method</t>
  </si>
  <si>
    <t xml:space="preserve">Litkenhous Adjusted Power</t>
  </si>
  <si>
    <t xml:space="preserve">Litkenhous Adjusted Rating</t>
  </si>
  <si>
    <t xml:space="preserve">Litkenhous Adjusted Rank</t>
  </si>
  <si>
    <t xml:space="preserve">Litkenhous Offseason Composite</t>
  </si>
  <si>
    <t xml:space="preserve">Litkenhous Offseason Adjustment</t>
  </si>
  <si>
    <t xml:space="preserve">Litkenhous Evidence Status</t>
  </si>
  <si>
    <t xml:space="preserve">Reconciliation</t>
  </si>
  <si>
    <t xml:space="preserve">Board I-H Power Rating (power_H)</t>
  </si>
  <si>
    <t xml:space="preserve">Board I-H Power Rank (rank_H)</t>
  </si>
  <si>
    <t xml:space="preserve">Board I-H Committee Rating (committee_H)</t>
  </si>
  <si>
    <t xml:space="preserve">Board I-H Committee Rank (rank_I)</t>
  </si>
  <si>
    <t xml:space="preserve">Board J-B Run2 Power Rating (power_Run2)</t>
  </si>
  <si>
    <t xml:space="preserve">Board J-B Run2 Power Rank (rank_Run2)</t>
  </si>
  <si>
    <t xml:space="preserve">Board J-B Run2 Committee Rating (committee_Run2)</t>
  </si>
  <si>
    <t xml:space="preserve">Board J-B Run2 Committee Rank (rank_I)</t>
  </si>
  <si>
    <t xml:space="preserve">Board J-B Baseline</t>
  </si>
  <si>
    <t xml:space="preserve">Board J-B Returning</t>
  </si>
  <si>
    <t xml:space="preserve">Board J-B Movement</t>
  </si>
  <si>
    <t xml:space="preserve">Board J-B Talent</t>
  </si>
  <si>
    <t xml:space="preserve">Board J-B Coaching</t>
  </si>
  <si>
    <t xml:space="preserve">Board J-B Market</t>
  </si>
  <si>
    <t xml:space="preserve">Board J-B 247 Points</t>
  </si>
  <si>
    <t xml:space="preserve">Board J-B Rank Shift</t>
  </si>
  <si>
    <t xml:space="preserve">Board J-B Source Status</t>
  </si>
  <si>
    <t xml:space="preserve">Board J-A Expected Wins</t>
  </si>
  <si>
    <t xml:space="preserve">Board J-B Expected Wins</t>
  </si>
  <si>
    <t xml:space="preserve">Board J-C Expected Wins</t>
  </si>
  <si>
    <t xml:space="preserve">2025 Baxter Ridge Rating</t>
  </si>
  <si>
    <t xml:space="preserve">2025 Baxter Rank</t>
  </si>
  <si>
    <t xml:space="preserve">2025 Baxter Games</t>
  </si>
  <si>
    <t xml:space="preserve">Baxter Carryforward Status</t>
  </si>
  <si>
    <t xml:space="preserve">2026 Pure Baxter Rating</t>
  </si>
  <si>
    <t xml:space="preserve">2026 Pure Baxter Rank</t>
  </si>
  <si>
    <t xml:space="preserve">Baxter Offseason Adjustment</t>
  </si>
  <si>
    <t xml:space="preserve">2026 Enhanced Baxter Rating</t>
  </si>
  <si>
    <t xml:space="preserve">2026 Enhanced Baxter Rank</t>
  </si>
  <si>
    <t xml:space="preserve">SP+ Rating</t>
  </si>
  <si>
    <t xml:space="preserve">SP+ Build Status</t>
  </si>
  <si>
    <t xml:space="preserve">SP+ Blocking Evidence</t>
  </si>
  <si>
    <t xml:space="preserve">Billingsley Seed Power</t>
  </si>
  <si>
    <t xml:space="preserve">Billingsley Seed Rating</t>
  </si>
  <si>
    <t xml:space="preserve">Billingsley Seed Rank</t>
  </si>
  <si>
    <t xml:space="preserve">Billingsley Uncertainty</t>
  </si>
  <si>
    <t xml:space="preserve">Billingsley Active Rating</t>
  </si>
  <si>
    <t xml:space="preserve">Billingsley Active Rank</t>
  </si>
  <si>
    <t xml:space="preserve">Billingsley Build Status</t>
  </si>
  <si>
    <t xml:space="preserve">Markov Schedule PageRank</t>
  </si>
  <si>
    <t xml:space="preserve">Markov Topology Rank</t>
  </si>
  <si>
    <t xml:space="preserve">Markov Scheduled Games</t>
  </si>
  <si>
    <t xml:space="preserve">Markov Unique In-Field Opponents</t>
  </si>
  <si>
    <t xml:space="preserve">Markov Out-of-Field Games</t>
  </si>
  <si>
    <t xml:space="preserve">Markov Performance Rating</t>
  </si>
  <si>
    <t xml:space="preserve">Markov Build Status</t>
  </si>
  <si>
    <t xml:space="preserve">TrueSkill Z</t>
  </si>
  <si>
    <t xml:space="preserve">Litkenhous Z</t>
  </si>
  <si>
    <t xml:space="preserve">Board I-H Z</t>
  </si>
  <si>
    <t xml:space="preserve">Board J-B Z</t>
  </si>
  <si>
    <t xml:space="preserve">Board Family Z</t>
  </si>
  <si>
    <t xml:space="preserve">Pure Baxter Z</t>
  </si>
  <si>
    <t xml:space="preserve">Unified Master Z</t>
  </si>
  <si>
    <t xml:space="preserve">Unified Master Power Index</t>
  </si>
  <si>
    <t xml:space="preserve">Unified Neutral-Field Points</t>
  </si>
  <si>
    <t xml:space="preserve">Unified Master Rank</t>
  </si>
  <si>
    <t xml:space="preserve">Family Disagreement</t>
  </si>
  <si>
    <t xml:space="preserve">Confidence Grade</t>
  </si>
  <si>
    <t xml:space="preserve">Review Flag</t>
  </si>
  <si>
    <t xml:space="preserve">Included Family Count</t>
  </si>
  <si>
    <t xml:space="preserve">ACC</t>
  </si>
  <si>
    <t xml:space="preserve">Boston College</t>
  </si>
  <si>
    <t xml:space="preserve">BC</t>
  </si>
  <si>
    <t xml:space="preserve">2025_POSTERIOR_CARRYOVER</t>
  </si>
  <si>
    <t xml:space="preserve">P0_REGRESSED_2025_POSTERIOR</t>
  </si>
  <si>
    <t xml:space="preserve">Complete</t>
  </si>
  <si>
    <t xml:space="preserve">PASS</t>
  </si>
  <si>
    <t xml:space="preserve">AVAILABLE — exact from 2026_Board_J-B_Run2.xlsx</t>
  </si>
  <si>
    <t xml:space="preserve">2025 Baxter fitted rating</t>
  </si>
  <si>
    <t xml:space="preserve">BLOCKED</t>
  </si>
  <si>
    <t xml:space="preserve">No play-by-play/drive efficiency, scoring-opportunity, explosiveness, field-position, havoc, or special-teams results; official SP+ coefficients are unavailable.</t>
  </si>
  <si>
    <t xml:space="preserve">B</t>
  </si>
  <si>
    <t xml:space="preserve">INITIALIZATION ONLY</t>
  </si>
  <si>
    <t xml:space="preserve">PARTIAL — TOPOLOGY ONLY</t>
  </si>
  <si>
    <t xml:space="preserve">California</t>
  </si>
  <si>
    <t xml:space="preserve">CAL</t>
  </si>
  <si>
    <t xml:space="preserve">Clemson</t>
  </si>
  <si>
    <t xml:space="preserve">CLEM</t>
  </si>
  <si>
    <t xml:space="preserve">Duke</t>
  </si>
  <si>
    <t xml:space="preserve">DUKE</t>
  </si>
  <si>
    <t xml:space="preserve">Florida State</t>
  </si>
  <si>
    <t xml:space="preserve">FSU</t>
  </si>
  <si>
    <t xml:space="preserve">Georgia Tech</t>
  </si>
  <si>
    <t xml:space="preserve">GT</t>
  </si>
  <si>
    <t xml:space="preserve">Louisville</t>
  </si>
  <si>
    <t xml:space="preserve">LOU</t>
  </si>
  <si>
    <t xml:space="preserve">Miami</t>
  </si>
  <si>
    <t xml:space="preserve">MIA</t>
  </si>
  <si>
    <t xml:space="preserve">NC State</t>
  </si>
  <si>
    <t xml:space="preserve">NCSU</t>
  </si>
  <si>
    <t xml:space="preserve">North Carolina</t>
  </si>
  <si>
    <t xml:space="preserve">UNC</t>
  </si>
  <si>
    <t xml:space="preserve">Pittsburgh</t>
  </si>
  <si>
    <t xml:space="preserve">PITT</t>
  </si>
  <si>
    <t xml:space="preserve">SMU</t>
  </si>
  <si>
    <t xml:space="preserve">Stanford</t>
  </si>
  <si>
    <t xml:space="preserve">STAN</t>
  </si>
  <si>
    <t xml:space="preserve">Syracuse</t>
  </si>
  <si>
    <t xml:space="preserve">SYR</t>
  </si>
  <si>
    <t xml:space="preserve">Virginia</t>
  </si>
  <si>
    <t xml:space="preserve">UVA</t>
  </si>
  <si>
    <t xml:space="preserve">Virginia Tech</t>
  </si>
  <si>
    <t xml:space="preserve">VT</t>
  </si>
  <si>
    <t xml:space="preserve">Wake Forest</t>
  </si>
  <si>
    <t xml:space="preserve">WAKE</t>
  </si>
  <si>
    <t xml:space="preserve">American</t>
  </si>
  <si>
    <t xml:space="preserve">Army</t>
  </si>
  <si>
    <t xml:space="preserve">ARMY</t>
  </si>
  <si>
    <t xml:space="preserve">East Carolina</t>
  </si>
  <si>
    <t xml:space="preserve">ECU</t>
  </si>
  <si>
    <t xml:space="preserve">Florida Atlantic</t>
  </si>
  <si>
    <t xml:space="preserve">FAU</t>
  </si>
  <si>
    <t xml:space="preserve">Louisiana Tech</t>
  </si>
  <si>
    <t xml:space="preserve">LT</t>
  </si>
  <si>
    <t xml:space="preserve">Memphis</t>
  </si>
  <si>
    <t xml:space="preserve">MEM</t>
  </si>
  <si>
    <t xml:space="preserve">Navy</t>
  </si>
  <si>
    <t xml:space="preserve">NAVY</t>
  </si>
  <si>
    <t xml:space="preserve">New Mexico State</t>
  </si>
  <si>
    <t xml:space="preserve">NMSU</t>
  </si>
  <si>
    <t xml:space="preserve">North Texas</t>
  </si>
  <si>
    <t xml:space="preserve">UNT</t>
  </si>
  <si>
    <t xml:space="preserve">Rice</t>
  </si>
  <si>
    <t xml:space="preserve">RICE</t>
  </si>
  <si>
    <t xml:space="preserve">South Florida</t>
  </si>
  <si>
    <t xml:space="preserve">USF</t>
  </si>
  <si>
    <t xml:space="preserve">Southern Miss</t>
  </si>
  <si>
    <t xml:space="preserve">USM</t>
  </si>
  <si>
    <t xml:space="preserve">Temple</t>
  </si>
  <si>
    <t xml:space="preserve">TEM</t>
  </si>
  <si>
    <t xml:space="preserve">Tulane</t>
  </si>
  <si>
    <t xml:space="preserve">TLN</t>
  </si>
  <si>
    <t xml:space="preserve">Tulsa</t>
  </si>
  <si>
    <t xml:space="preserve">TLSA</t>
  </si>
  <si>
    <t xml:space="preserve">UAB</t>
  </si>
  <si>
    <t xml:space="preserve">UTSA</t>
  </si>
  <si>
    <t xml:space="preserve">Atlantic-8</t>
  </si>
  <si>
    <t xml:space="preserve">Buffalo</t>
  </si>
  <si>
    <t xml:space="preserve">BUFF</t>
  </si>
  <si>
    <t xml:space="preserve">Coastal Carolina</t>
  </si>
  <si>
    <t xml:space="preserve">CCU</t>
  </si>
  <si>
    <t xml:space="preserve">Delaware</t>
  </si>
  <si>
    <t xml:space="preserve">DEL</t>
  </si>
  <si>
    <t xml:space="preserve">Florida International</t>
  </si>
  <si>
    <t xml:space="preserve">FIU</t>
  </si>
  <si>
    <t xml:space="preserve">Georgia Southern</t>
  </si>
  <si>
    <t xml:space="preserve">GASO</t>
  </si>
  <si>
    <t xml:space="preserve">Georgia State</t>
  </si>
  <si>
    <t xml:space="preserve">GAST</t>
  </si>
  <si>
    <t xml:space="preserve">Marshall</t>
  </si>
  <si>
    <t xml:space="preserve">MRSH</t>
  </si>
  <si>
    <t xml:space="preserve">Middle Tennessee</t>
  </si>
  <si>
    <t xml:space="preserve">MTSU</t>
  </si>
  <si>
    <t xml:space="preserve">Old Dominion</t>
  </si>
  <si>
    <t xml:space="preserve">ODU</t>
  </si>
  <si>
    <t xml:space="preserve">Troy</t>
  </si>
  <si>
    <t xml:space="preserve">TROY</t>
  </si>
  <si>
    <t xml:space="preserve">Big 12</t>
  </si>
  <si>
    <t xml:space="preserve">Arizona</t>
  </si>
  <si>
    <t xml:space="preserve">ARIZ</t>
  </si>
  <si>
    <t xml:space="preserve">Arizona State</t>
  </si>
  <si>
    <t xml:space="preserve">ASU</t>
  </si>
  <si>
    <t xml:space="preserve">BYU</t>
  </si>
  <si>
    <t xml:space="preserve">Baylor</t>
  </si>
  <si>
    <t xml:space="preserve">BAY</t>
  </si>
  <si>
    <t xml:space="preserve">Cincinnati</t>
  </si>
  <si>
    <t xml:space="preserve">CIN</t>
  </si>
  <si>
    <t xml:space="preserve">Colorado</t>
  </si>
  <si>
    <t xml:space="preserve">COLO</t>
  </si>
  <si>
    <t xml:space="preserve">Houston</t>
  </si>
  <si>
    <t xml:space="preserve">HOU</t>
  </si>
  <si>
    <t xml:space="preserve">Iowa State</t>
  </si>
  <si>
    <t xml:space="preserve">ISU</t>
  </si>
  <si>
    <t xml:space="preserve">Kansas</t>
  </si>
  <si>
    <t xml:space="preserve">KU</t>
  </si>
  <si>
    <t xml:space="preserve">Kansas State</t>
  </si>
  <si>
    <t xml:space="preserve">KSU</t>
  </si>
  <si>
    <t xml:space="preserve">Oklahoma State</t>
  </si>
  <si>
    <t xml:space="preserve">OKST</t>
  </si>
  <si>
    <t xml:space="preserve">TCU</t>
  </si>
  <si>
    <t xml:space="preserve">Texas Tech</t>
  </si>
  <si>
    <t xml:space="preserve">TTU</t>
  </si>
  <si>
    <t xml:space="preserve">UCF</t>
  </si>
  <si>
    <t xml:space="preserve">Utah</t>
  </si>
  <si>
    <t xml:space="preserve">UTAH</t>
  </si>
  <si>
    <t xml:space="preserve">West Virginia</t>
  </si>
  <si>
    <t xml:space="preserve">WVU</t>
  </si>
  <si>
    <t xml:space="preserve">Big Ten</t>
  </si>
  <si>
    <t xml:space="preserve">Illinois</t>
  </si>
  <si>
    <t xml:space="preserve">ILL</t>
  </si>
  <si>
    <t xml:space="preserve">Indiana</t>
  </si>
  <si>
    <t xml:space="preserve">IU</t>
  </si>
  <si>
    <t xml:space="preserve">Iowa</t>
  </si>
  <si>
    <t xml:space="preserve">IOWA</t>
  </si>
  <si>
    <t xml:space="preserve">Maryland</t>
  </si>
  <si>
    <t xml:space="preserve">MD</t>
  </si>
  <si>
    <t xml:space="preserve">Michigan</t>
  </si>
  <si>
    <t xml:space="preserve">MICH</t>
  </si>
  <si>
    <t xml:space="preserve">Michigan State</t>
  </si>
  <si>
    <t xml:space="preserve">MSU</t>
  </si>
  <si>
    <t xml:space="preserve">Minnesota</t>
  </si>
  <si>
    <t xml:space="preserve">MINN</t>
  </si>
  <si>
    <t xml:space="preserve">Nebraska</t>
  </si>
  <si>
    <t xml:space="preserve">NEB</t>
  </si>
  <si>
    <t xml:space="preserve">Northwestern</t>
  </si>
  <si>
    <t xml:space="preserve">NU</t>
  </si>
  <si>
    <t xml:space="preserve">Ohio State</t>
  </si>
  <si>
    <t xml:space="preserve">OSU</t>
  </si>
  <si>
    <t xml:space="preserve">Oregon</t>
  </si>
  <si>
    <t xml:space="preserve">ORE</t>
  </si>
  <si>
    <t xml:space="preserve">Penn State</t>
  </si>
  <si>
    <t xml:space="preserve">PSU</t>
  </si>
  <si>
    <t xml:space="preserve">Purdue</t>
  </si>
  <si>
    <t xml:space="preserve">PUR</t>
  </si>
  <si>
    <t xml:space="preserve">Rutgers</t>
  </si>
  <si>
    <t xml:space="preserve">RUTG</t>
  </si>
  <si>
    <t xml:space="preserve">UCLA</t>
  </si>
  <si>
    <t xml:space="preserve">USC</t>
  </si>
  <si>
    <t xml:space="preserve">Washington</t>
  </si>
  <si>
    <t xml:space="preserve">WASH</t>
  </si>
  <si>
    <t xml:space="preserve">Wisconsin</t>
  </si>
  <si>
    <t xml:space="preserve">WIS</t>
  </si>
  <si>
    <t xml:space="preserve">ECL</t>
  </si>
  <si>
    <t xml:space="preserve">Colgate</t>
  </si>
  <si>
    <t xml:space="preserve">COLG</t>
  </si>
  <si>
    <t xml:space="preserve">Partial — no market input</t>
  </si>
  <si>
    <t xml:space="preserve">dropped (ECL)</t>
  </si>
  <si>
    <t xml:space="preserve">Cornell</t>
  </si>
  <si>
    <t xml:space="preserve">COR</t>
  </si>
  <si>
    <t xml:space="preserve">Harvard</t>
  </si>
  <si>
    <t xml:space="preserve">HARV</t>
  </si>
  <si>
    <t xml:space="preserve">Holy Cross</t>
  </si>
  <si>
    <t xml:space="preserve">HC</t>
  </si>
  <si>
    <t xml:space="preserve">Lehigh</t>
  </si>
  <si>
    <t xml:space="preserve">LEH</t>
  </si>
  <si>
    <t xml:space="preserve">Penn</t>
  </si>
  <si>
    <t xml:space="preserve">PENN</t>
  </si>
  <si>
    <t xml:space="preserve">Princeton</t>
  </si>
  <si>
    <t xml:space="preserve">PRIN</t>
  </si>
  <si>
    <t xml:space="preserve">Yale</t>
  </si>
  <si>
    <t xml:space="preserve">YALE</t>
  </si>
  <si>
    <t xml:space="preserve">Independent</t>
  </si>
  <si>
    <t xml:space="preserve">Notre Dame</t>
  </si>
  <si>
    <t xml:space="preserve">ND</t>
  </si>
  <si>
    <t xml:space="preserve">UConn</t>
  </si>
  <si>
    <t xml:space="preserve">Mountain West</t>
  </si>
  <si>
    <t xml:space="preserve">Air Force</t>
  </si>
  <si>
    <t xml:space="preserve">AF</t>
  </si>
  <si>
    <t xml:space="preserve">Hawaii</t>
  </si>
  <si>
    <t xml:space="preserve">HAW</t>
  </si>
  <si>
    <t xml:space="preserve">Nevada</t>
  </si>
  <si>
    <t xml:space="preserve">NEV</t>
  </si>
  <si>
    <t xml:space="preserve">New Mexico</t>
  </si>
  <si>
    <t xml:space="preserve">NM</t>
  </si>
  <si>
    <t xml:space="preserve">North Dakota State</t>
  </si>
  <si>
    <t xml:space="preserve">NDSU</t>
  </si>
  <si>
    <t xml:space="preserve">POPULATION_PRIOR_NO_2025_EVIDENCE</t>
  </si>
  <si>
    <t xml:space="preserve">P0_POPULATION_PRIOR</t>
  </si>
  <si>
    <t xml:space="preserve">Imputed new entrant from Baxter~Board J baseline regression</t>
  </si>
  <si>
    <t xml:space="preserve">D</t>
  </si>
  <si>
    <t xml:space="preserve">Northern Illinois</t>
  </si>
  <si>
    <t xml:space="preserve">NIU</t>
  </si>
  <si>
    <t xml:space="preserve">Partial — imputed 2025 base</t>
  </si>
  <si>
    <t xml:space="preserve">San Jose State</t>
  </si>
  <si>
    <t xml:space="preserve">SJSU</t>
  </si>
  <si>
    <t xml:space="preserve">UNLV</t>
  </si>
  <si>
    <t xml:space="preserve">UTEP</t>
  </si>
  <si>
    <t xml:space="preserve">Wyoming</t>
  </si>
  <si>
    <t xml:space="preserve">WYO</t>
  </si>
  <si>
    <t xml:space="preserve">Pac-12</t>
  </si>
  <si>
    <t xml:space="preserve">Boise State</t>
  </si>
  <si>
    <t xml:space="preserve">BOISE</t>
  </si>
  <si>
    <t xml:space="preserve">Colorado State</t>
  </si>
  <si>
    <t xml:space="preserve">CSU</t>
  </si>
  <si>
    <t xml:space="preserve">Fresno State</t>
  </si>
  <si>
    <t xml:space="preserve">FRES</t>
  </si>
  <si>
    <t xml:space="preserve">Oregon State</t>
  </si>
  <si>
    <t xml:space="preserve">ORST</t>
  </si>
  <si>
    <t xml:space="preserve">San Diego State</t>
  </si>
  <si>
    <t xml:space="preserve">SDSU</t>
  </si>
  <si>
    <t xml:space="preserve">Texas State</t>
  </si>
  <si>
    <t xml:space="preserve">TXST</t>
  </si>
  <si>
    <t xml:space="preserve">Utah State</t>
  </si>
  <si>
    <t xml:space="preserve">USU</t>
  </si>
  <si>
    <t xml:space="preserve">Washington State</t>
  </si>
  <si>
    <t xml:space="preserve">WSU</t>
  </si>
  <si>
    <t xml:space="preserve">SEC</t>
  </si>
  <si>
    <t xml:space="preserve">Alabama</t>
  </si>
  <si>
    <t xml:space="preserve">ALA</t>
  </si>
  <si>
    <t xml:space="preserve">Arkansas</t>
  </si>
  <si>
    <t xml:space="preserve">ARK</t>
  </si>
  <si>
    <t xml:space="preserve">Auburn</t>
  </si>
  <si>
    <t xml:space="preserve">AUB</t>
  </si>
  <si>
    <t xml:space="preserve">Florida</t>
  </si>
  <si>
    <t xml:space="preserve">FLA</t>
  </si>
  <si>
    <t xml:space="preserve">Georgia</t>
  </si>
  <si>
    <t xml:space="preserve">UGA</t>
  </si>
  <si>
    <t xml:space="preserve">Kentucky</t>
  </si>
  <si>
    <t xml:space="preserve">UK</t>
  </si>
  <si>
    <t xml:space="preserve">LSU</t>
  </si>
  <si>
    <t xml:space="preserve">Mississippi State</t>
  </si>
  <si>
    <t xml:space="preserve">MSST</t>
  </si>
  <si>
    <t xml:space="preserve">Missouri</t>
  </si>
  <si>
    <t xml:space="preserve">MIZ</t>
  </si>
  <si>
    <t xml:space="preserve">Oklahoma</t>
  </si>
  <si>
    <t xml:space="preserve">OU</t>
  </si>
  <si>
    <t xml:space="preserve">Ole Miss</t>
  </si>
  <si>
    <t xml:space="preserve">MISS</t>
  </si>
  <si>
    <t xml:space="preserve">South Carolina</t>
  </si>
  <si>
    <t xml:space="preserve">SC</t>
  </si>
  <si>
    <t xml:space="preserve">Tennessee</t>
  </si>
  <si>
    <t xml:space="preserve">TENN</t>
  </si>
  <si>
    <t xml:space="preserve">Texas</t>
  </si>
  <si>
    <t xml:space="preserve">TEX</t>
  </si>
  <si>
    <t xml:space="preserve">Texas A&amp;M</t>
  </si>
  <si>
    <t xml:space="preserve">TA&amp;M</t>
  </si>
  <si>
    <t xml:space="preserve">Vanderbilt</t>
  </si>
  <si>
    <t xml:space="preserve">VAN</t>
  </si>
  <si>
    <t xml:space="preserve">2026 Unified Preseason Power Rating — Ensemble Parameters</t>
  </si>
  <si>
    <t xml:space="preserve">Only completed, independent rating families receive weight. Seeds, committee overlays, enhanced/derived duplicates, schedule topology, and blocked systems receive zero weight.</t>
  </si>
  <si>
    <t xml:space="preserve">Component</t>
  </si>
  <si>
    <t xml:space="preserve">Weight</t>
  </si>
  <si>
    <t xml:space="preserve">Role</t>
  </si>
  <si>
    <t xml:space="preserve">Included source field</t>
  </si>
  <si>
    <t xml:space="preserve">TrueSkill</t>
  </si>
  <si>
    <t xml:space="preserve">Results-based latent strength</t>
  </si>
  <si>
    <t xml:space="preserve">Litkenhous</t>
  </si>
  <si>
    <t xml:space="preserve">Forward-looking offseason-adjusted power</t>
  </si>
  <si>
    <t xml:space="preserve">Pure Baxter</t>
  </si>
  <si>
    <t xml:space="preserve">Margin-based results carry-forward</t>
  </si>
  <si>
    <t xml:space="preserve">Board Family</t>
  </si>
  <si>
    <t xml:space="preserve">Forward-looking component family</t>
  </si>
  <si>
    <t xml:space="preserve">Average of standardized Board I-H and Board J-B</t>
  </si>
  <si>
    <t xml:space="preserve">Output Controls</t>
  </si>
  <si>
    <t xml:space="preserve">Index center</t>
  </si>
  <si>
    <t xml:space="preserve">Master Power Index center</t>
  </si>
  <si>
    <t xml:space="preserve">Index scale</t>
  </si>
  <si>
    <t xml:space="preserve">Index points per standard deviation</t>
  </si>
  <si>
    <t xml:space="preserve">Neutral-field point scale</t>
  </si>
  <si>
    <t xml:space="preserve">Initial points per standard deviation; recalibrate against game margins</t>
  </si>
  <si>
    <t xml:space="preserve">High-confidence maximum disagreement</t>
  </si>
  <si>
    <t xml:space="preserve">Family standard deviation below this is High</t>
  </si>
  <si>
    <t xml:space="preserve">Moderate-confidence maximum disagreement</t>
  </si>
  <si>
    <t xml:space="preserve">Below this is Moderate; otherwise Low</t>
  </si>
  <si>
    <t xml:space="preserve">Population Statistics</t>
  </si>
  <si>
    <t xml:space="preserve">System</t>
  </si>
  <si>
    <t xml:space="preserve">Mean</t>
  </si>
  <si>
    <t xml:space="preserve">Std Dev</t>
  </si>
  <si>
    <t xml:space="preserve">Master column</t>
  </si>
  <si>
    <t xml:space="preserve">F</t>
  </si>
  <si>
    <t xml:space="preserve">L</t>
  </si>
  <si>
    <t xml:space="preserve">Board I-H</t>
  </si>
  <si>
    <t xml:space="preserve">S</t>
  </si>
  <si>
    <t xml:space="preserve">Board J-B</t>
  </si>
  <si>
    <t xml:space="preserve">W</t>
  </si>
  <si>
    <t xml:space="preserve">AQ</t>
  </si>
  <si>
    <t xml:space="preserve">Zero-weight fields</t>
  </si>
  <si>
    <t xml:space="preserve">Board committee ratings</t>
  </si>
  <si>
    <t xml:space="preserve">Board J expected wins</t>
  </si>
  <si>
    <t xml:space="preserve">2026 Enhanced Baxter</t>
  </si>
  <si>
    <t xml:space="preserve">SP+ (blocked)</t>
  </si>
  <si>
    <t xml:space="preserve">Billingsley seed and active rating</t>
  </si>
  <si>
    <t xml:space="preserve">Markov schedule PageRank and performance rating</t>
  </si>
  <si>
    <t xml:space="preserve">Field</t>
  </si>
  <si>
    <t xml:space="preserve">Definition</t>
  </si>
  <si>
    <t xml:space="preserve">Selection rule / source</t>
  </si>
  <si>
    <t xml:space="preserve">Posterior-mean team strength after offseason regression toward the population mean.</t>
  </si>
  <si>
    <t xml:space="preserve">μ2026 = 25 + 0.70 × (μ2025 − 25); from TrueSkill consolidation.</t>
  </si>
  <si>
    <t xml:space="preserve">Preseason uncertainty after offseason uncertainty is added.</t>
  </si>
  <si>
    <t xml:space="preserve">σ2026 = sqrt(σ2025² + 3²); population prior used where 2025 evidence is absent.</t>
  </si>
  <si>
    <t xml:space="preserve">Conservative lower-bound skill value.</t>
  </si>
  <si>
    <t xml:space="preserve">Included for auditability; primary power field is Preseason μ.</t>
  </si>
  <si>
    <t xml:space="preserve">Power value after the explicit offseason composite adjustment.</t>
  </si>
  <si>
    <t xml:space="preserve">Selected instead of Pure Carryover Power and instead of Market Power.</t>
  </si>
  <si>
    <t xml:space="preserve">Adjusted Power shifted onto the published rating scale.</t>
  </si>
  <si>
    <t xml:space="preserve">Source file field; equals Adjusted Power + 100.</t>
  </si>
  <si>
    <t xml:space="preserve">Board J</t>
  </si>
  <si>
    <t xml:space="preserve">Simulation outcome board containing wins and postseason probabilities.</t>
  </si>
  <si>
    <t xml:space="preserve">Not included as a rating system because the supplied comparison has no team power-rating field.</t>
  </si>
  <si>
    <t xml:space="preserve">Explicit Board I-H v2 team power value.</t>
  </si>
  <si>
    <t xml:space="preserve">Directly imported from 2026 Board I-H v2.xlsx field power_H.</t>
  </si>
  <si>
    <t xml:space="preserve">Board I-H committee blend associated with the power rating.</t>
  </si>
  <si>
    <t xml:space="preserve">Directly imported; retained separately from power_H.</t>
  </si>
  <si>
    <t xml:space="preserve">Board J-B Run2 Power Rating</t>
  </si>
  <si>
    <t xml:space="preserve">Exact Board J-B Run 2 post-offseason team power input.</t>
  </si>
  <si>
    <t xml:space="preserve">power_Run2 from 2026_Board_J-B_Run2.xlsx.</t>
  </si>
  <si>
    <t xml:space="preserve">Board J-A/B/C Expected Wins</t>
  </si>
  <si>
    <t xml:space="preserve">Simulation output under each Board J configuration.</t>
  </si>
  <si>
    <t xml:space="preserve">Included as downstream outputs; not labeled or treated as power ratings.</t>
  </si>
  <si>
    <t xml:space="preserve">Board J-B Run2 Power Rank</t>
  </si>
  <si>
    <t xml:space="preserve">Ordinal rank corresponding to power_Run2.</t>
  </si>
  <si>
    <t xml:space="preserve">rank_Run2 from Run 2 workbook.</t>
  </si>
  <si>
    <t xml:space="preserve">Board J-B Run2 Committee Rating</t>
  </si>
  <si>
    <t xml:space="preserve">Power blended with market overlay; ECL follows workbook-specific handling.</t>
  </si>
  <si>
    <t xml:space="preserve">committee_Run2 from Run 2 workbook.</t>
  </si>
  <si>
    <t xml:space="preserve">Board J-B Components</t>
  </si>
  <si>
    <t xml:space="preserve">Baseline, returning, movement, talent, coaching, market and 247 point inputs.</t>
  </si>
  <si>
    <t xml:space="preserve">Exact source fields from Run 2 workbook.</t>
  </si>
  <si>
    <t xml:space="preserve">Margin-based 2025 fitted team-strength rating from the Baxter ridge model.</t>
  </si>
  <si>
    <t xml:space="preserve">Directly imported from Baxter_Ratings_v1_2025_Fit.xlsx through the carry-forward workbook.</t>
  </si>
  <si>
    <t xml:space="preserve">Authoritative Baxter preseason carry-forward on a zero-centered point scale.</t>
  </si>
  <si>
    <t xml:space="preserve">2026 Pure Baxter = 0.70 × 2025 Baxter Ridge; new entrants use documented regression imputation.</t>
  </si>
  <si>
    <t xml:space="preserve">Capped forward-looking adjustment derived from the standardized Board J baseline-to-Run2 shift.</t>
  </si>
  <si>
    <t xml:space="preserve">Scenario-only overlay; not part of pure Baxter.</t>
  </si>
  <si>
    <t xml:space="preserve">Pure Baxter plus the separately identified offseason adjustment.</t>
  </si>
  <si>
    <t xml:space="preserve">Included as an optional scenario and must not be labeled pure Baxter.</t>
  </si>
  <si>
    <t xml:space="preserve">Completed SP+-style preseason rating.</t>
  </si>
  <si>
    <t xml:space="preserve">BLOCKED in supplied artifact; no value produced because required play-by-play/drive efficiency evidence and coefficients were absent.</t>
  </si>
  <si>
    <t xml:space="preserve">Preseason initialization seed for a future Billingsley-style season rating.</t>
  </si>
  <si>
    <t xml:space="preserve">Imported directly; sourced from the existing Litkenhous market-projection power and therefore not independent of Litkenhous.</t>
  </si>
  <si>
    <t xml:space="preserve">Billingsley seed power shifted to the workbook rating scale.</t>
  </si>
  <si>
    <t xml:space="preserve">Initialization only; active Billingsley fields remain blank until synthetic results exist.</t>
  </si>
  <si>
    <t xml:space="preserve">Undirected PageRank of the locked 2026 schedule graph.</t>
  </si>
  <si>
    <t xml:space="preserve">Schedule topology/connectivity measure only; not a team-strength rating.</t>
  </si>
  <si>
    <t xml:space="preserve">Outcome-based Markov team-strength value.</t>
  </si>
  <si>
    <t xml:space="preserve">BLOCKED in supplied artifact because 2026 winners/losers or authorized projected outcomes were absent.</t>
  </si>
  <si>
    <t xml:space="preserve">Unified Ensemble Fields</t>
  </si>
  <si>
    <t xml:space="preserve">Standardized TrueSkill preseason μ across 121 teams.</t>
  </si>
  <si>
    <t xml:space="preserve">Standardized Litkenhous Adjusted Power.</t>
  </si>
  <si>
    <t xml:space="preserve">Average of standardized Board I-H power and Board J-B power.</t>
  </si>
  <si>
    <t xml:space="preserve">Standardized 2026 Pure Baxter carry-forward rating.</t>
  </si>
  <si>
    <t xml:space="preserve">25% each: TrueSkill, Litkenhous, Pure Baxter, Board family.</t>
  </si>
  <si>
    <t xml:space="preserve">100 + 10 × Unified Master Z.</t>
  </si>
  <si>
    <t xml:space="preserve">14 × Unified Master Z; initial scale pending margin calibration.</t>
  </si>
  <si>
    <t xml:space="preserve">Sample standard deviation of four independent-family Z scores.</t>
  </si>
  <si>
    <t xml:space="preserve">High &lt;0.30; Moderate &lt;0.60; otherwise Low.</t>
  </si>
  <si>
    <t xml:space="preserve">Flags Low-confidence model disagreement for review.</t>
  </si>
  <si>
    <t xml:space="preserve">Check</t>
  </si>
  <si>
    <t xml:space="preserve">Expected</t>
  </si>
  <si>
    <t xml:space="preserve">Actual</t>
  </si>
  <si>
    <t xml:space="preserve">Status</t>
  </si>
  <si>
    <t xml:space="preserve">Master team rows</t>
  </si>
  <si>
    <t xml:space="preserve">TrueSkill teams</t>
  </si>
  <si>
    <t xml:space="preserve">Litkenhous teams</t>
  </si>
  <si>
    <t xml:space="preserve">Missing from TrueSkill</t>
  </si>
  <si>
    <t xml:space="preserve">Missing from Litkenhous</t>
  </si>
  <si>
    <t xml:space="preserve">Conference conflicts</t>
  </si>
  <si>
    <t xml:space="preserve">Conference total</t>
  </si>
  <si>
    <t xml:space="preserve">Board I-H teams</t>
  </si>
  <si>
    <t xml:space="preserve">Missing from Board I-H</t>
  </si>
  <si>
    <t xml:space="preserve">Board J comparison teams</t>
  </si>
  <si>
    <t xml:space="preserve">Missing from Board J comparison</t>
  </si>
  <si>
    <t xml:space="preserve">Board J explicit power-rating field</t>
  </si>
  <si>
    <t xml:space="preserve">Required for direct import</t>
  </si>
  <si>
    <t xml:space="preserve">Not supplied</t>
  </si>
  <si>
    <t xml:space="preserve">Board J-B Run2 team matches</t>
  </si>
  <si>
    <t xml:space="preserve">Board J-B Run2 power populated</t>
  </si>
  <si>
    <t xml:space="preserve">Board J-B Run2 committee populated</t>
  </si>
  <si>
    <t xml:space="preserve">Board J-B conference alignment conflicts</t>
  </si>
  <si>
    <t xml:space="preserve">Baxter carry-forward teams</t>
  </si>
  <si>
    <t xml:space="preserve">Missing from Baxter carry-forward</t>
  </si>
  <si>
    <t xml:space="preserve">2026 Pure Baxter populated</t>
  </si>
  <si>
    <t xml:space="preserve">2026 Enhanced Baxter populated</t>
  </si>
  <si>
    <t xml:space="preserve">Baxter source type</t>
  </si>
  <si>
    <t xml:space="preserve">Pre-consolidation independent rating block</t>
  </si>
  <si>
    <t xml:space="preserve">Preserved separately</t>
  </si>
  <si>
    <t xml:space="preserve">SP+/Billingsley/Markov source teams</t>
  </si>
  <si>
    <t xml:space="preserve">Billingsley matched master teams</t>
  </si>
  <si>
    <t xml:space="preserve">Markov matched master teams</t>
  </si>
  <si>
    <t xml:space="preserve">SP+ completed ratings expected</t>
  </si>
  <si>
    <t xml:space="preserve">Billingsley active ratings expected</t>
  </si>
  <si>
    <t xml:space="preserve">Markov performance ratings expected</t>
  </si>
  <si>
    <t xml:space="preserve">Team match exceptions</t>
  </si>
  <si>
    <t xml:space="preserve">Unified Ensemble Validation</t>
  </si>
  <si>
    <t xml:space="preserve">Team rows</t>
  </si>
  <si>
    <t xml:space="preserve">Ensemble weights sum</t>
  </si>
  <si>
    <t xml:space="preserve">Master ratings populated</t>
  </si>
  <si>
    <t xml:space="preserve">Ranks populated</t>
  </si>
  <si>
    <t xml:space="preserve">Included family count</t>
  </si>
  <si>
    <t xml:space="preserve">Artifact</t>
  </si>
  <si>
    <t xml:space="preserve">Role in master</t>
  </si>
  <si>
    <t xml:space="preserve">Local source file</t>
  </si>
  <si>
    <t xml:space="preserve">Included field(s)</t>
  </si>
  <si>
    <t xml:space="preserve">Operation Sythalax TrueSkill 2025–2026 Thread Consolidation</t>
  </si>
  <si>
    <t xml:space="preserve">TrueSkill offseason-transition rating</t>
  </si>
  <si>
    <t xml:space="preserve">Operation_Sythalax_TrueSkill_2025_2026_Thread_Consolidation.xlsx</t>
  </si>
  <si>
    <t xml:space="preserve">2026 Preseason μ, σ, μ−3σ, ranks and lineage</t>
  </si>
  <si>
    <t xml:space="preserve">2026 Synthetic FBS Litkenhous Preseason Three Layer</t>
  </si>
  <si>
    <t xml:space="preserve">Litkenhous post-offseason rating</t>
  </si>
  <si>
    <t xml:space="preserve">2026_Synthetic_FBS_Litkenhous_Preseason_Three_Layer.csv</t>
  </si>
  <si>
    <t xml:space="preserve">Adjusted Power, Adjusted Rating, Adjusted Rank, offseason fields</t>
  </si>
  <si>
    <t xml:space="preserve">Board-J-A vs J-B vs J-C Comparison</t>
  </si>
  <si>
    <t xml:space="preserve">Board J simulation comparison and expected-win outputs</t>
  </si>
  <si>
    <t xml:space="preserve">Board-J-A_vs_J-B_vs_J-C_Comparison.csv</t>
  </si>
  <si>
    <t xml:space="preserve">A/B/C expected wins; no team power-rating field supplied</t>
  </si>
  <si>
    <t xml:space="preserve">Board-J-A Schedule v5 Name Adapter</t>
  </si>
  <si>
    <t xml:space="preserve">Identity/schedule context only</t>
  </si>
  <si>
    <t xml:space="preserve">Board-J-A_Schedule_v5_Name_Adapter.xlsx</t>
  </si>
  <si>
    <t xml:space="preserve">No rating field</t>
  </si>
  <si>
    <t xml:space="preserve">2026 Board I-H v2</t>
  </si>
  <si>
    <t xml:space="preserve">Board I-H team power and committee ratings</t>
  </si>
  <si>
    <t xml:space="preserve">2026 Board I-H v2.xlsx</t>
  </si>
  <si>
    <t xml:space="preserve">power_H, rank_H, committee_H, rank_I</t>
  </si>
  <si>
    <t xml:space="preserve">2026 Board J-B Run2</t>
  </si>
  <si>
    <t xml:space="preserve">Exact Board J-B power, committee, ranks and component inputs</t>
  </si>
  <si>
    <t xml:space="preserve">2026_Board_J-B_Run2.xlsx</t>
  </si>
  <si>
    <t xml:space="preserve">power_Run2; rank_Run2; committee_Run2; rank_I; baseline; returning; movement; talent; coaching; market; 247_pts; shift</t>
  </si>
  <si>
    <t xml:space="preserve">2026 Synthetic CFB Preseason Baxter Carry-Forward</t>
  </si>
  <si>
    <t xml:space="preserve">Baxter 2025 margin-fit carry-forward and optional offseason scenario</t>
  </si>
  <si>
    <t xml:space="preserve">2026_Synthetic_CFB_Preseason_Baxter_Carryforward.xlsx</t>
  </si>
  <si>
    <t xml:space="preserve">2025 Baxter Ridge; 2025 rank/games; carryforward status; 2026 Pure Baxter/rank; offseason adjustment; Enhanced Baxter/rank</t>
  </si>
  <si>
    <t xml:space="preserve">Google Drive source</t>
  </si>
  <si>
    <t xml:space="preserve">Original Baxter fit artifact</t>
  </si>
  <si>
    <t xml:space="preserve">https://drive.google.com/file/d/1aJXq0o-qI9I-zytlUWTRoma9FTfzs-py</t>
  </si>
  <si>
    <t xml:space="preserve">Baxter_Ratings_v1_2025_Fit.xlsx</t>
  </si>
  <si>
    <t xml:space="preserve">Sythalax 2026 SP+ Billingsley Markov Build</t>
  </si>
  <si>
    <t xml:space="preserve">SP+ readiness status, Billingsley preseason seed, and Markov schedule topology</t>
  </si>
  <si>
    <t xml:space="preserve">Sythalax_2026_SPPlus_Billingsley_Markov_Build(1).xlsx</t>
  </si>
  <si>
    <t xml:space="preserve">SP+ blank/status; Billingsley seed power/rating/rank/status; Markov schedule PageRank/topology rank/schedule counts/status</t>
  </si>
  <si>
    <t xml:space="preserve">Unified ensemble methodology</t>
  </si>
  <si>
    <t xml:space="preserve">Internal governed calculation using source fields already present in this workbook; parameters documented in Ensemble Parameters.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</si>
</sst>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00"/>
    <numFmt numFmtId="166" formatCode="0"/>
    <numFmt numFmtId="167" formatCode="0.000000"/>
    <numFmt numFmtId="168" formatCode="0.00"/>
    <numFmt numFmtId="169" formatCode="0.000"/>
    <numFmt numFmtId="170" formatCode="0.0%"/>
    <numFmt numFmtId="171" formatCode="0.0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i val="true"/>
      <sz val="11"/>
      <color rgb="FF40404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8000"/>
      <name val="Cambria"/>
      <family val="0"/>
      <charset val="1"/>
    </font>
    <font>
      <sz val="11"/>
      <color rgb="FF008000"/>
      <name val="Calibri"/>
      <family val="0"/>
      <charset val="1"/>
    </font>
    <font>
      <sz val="10"/>
      <name val="Arial"/>
      <family val="2"/>
    </font>
    <font>
      <b val="true"/>
      <sz val="14"/>
      <color rgb="FFFFFFFF"/>
      <name val="Cambria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7365D"/>
        <bgColor rgb="FF1F4E78"/>
      </patternFill>
    </fill>
    <fill>
      <patternFill patternType="solid">
        <fgColor rgb="FFD9EAF7"/>
        <bgColor rgb="FFE2F0D9"/>
      </patternFill>
    </fill>
    <fill>
      <patternFill patternType="solid">
        <fgColor rgb="FF1F4E78"/>
        <bgColor rgb="FF17365D"/>
      </patternFill>
    </fill>
    <fill>
      <patternFill patternType="solid">
        <fgColor rgb="FFF2F2F2"/>
        <bgColor rgb="FFE2F0D9"/>
      </patternFill>
    </fill>
    <fill>
      <patternFill patternType="solid">
        <fgColor rgb="FFE2F0D9"/>
        <bgColor rgb="FFD9EAF7"/>
      </patternFill>
    </fill>
    <fill>
      <patternFill patternType="solid">
        <fgColor rgb="FF5B9BD5"/>
        <bgColor rgb="FF969696"/>
      </patternFill>
    </fill>
    <fill>
      <patternFill patternType="solid">
        <fgColor rgb="FF7030A0"/>
        <bgColor rgb="FF993366"/>
      </patternFill>
    </fill>
    <fill>
      <patternFill patternType="solid">
        <fgColor rgb="FF008C95"/>
        <bgColor rgb="FF008080"/>
      </patternFill>
    </fill>
    <fill>
      <patternFill patternType="solid">
        <fgColor rgb="FFC65911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9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1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6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7DC67D"/>
          <bgColor rgb="FF000000"/>
        </patternFill>
      </fill>
    </dxf>
    <dxf>
      <fill>
        <patternFill patternType="solid">
          <fgColor rgb="FF8ECB7E"/>
          <bgColor rgb="FF000000"/>
        </patternFill>
      </fill>
    </dxf>
    <dxf>
      <fill>
        <patternFill patternType="solid">
          <fgColor rgb="FF91CC7E"/>
          <bgColor rgb="FF000000"/>
        </patternFill>
      </fill>
    </dxf>
    <dxf>
      <fill>
        <patternFill patternType="solid">
          <fgColor rgb="FF92CC7E"/>
          <bgColor rgb="FF000000"/>
        </patternFill>
      </fill>
    </dxf>
    <dxf>
      <fill>
        <patternFill patternType="solid">
          <fgColor rgb="FF93CC7E"/>
          <bgColor rgb="FF000000"/>
        </patternFill>
      </fill>
    </dxf>
    <dxf>
      <fill>
        <patternFill patternType="solid">
          <fgColor rgb="FF94CD7E"/>
          <bgColor rgb="FF000000"/>
        </patternFill>
      </fill>
    </dxf>
    <dxf>
      <fill>
        <patternFill patternType="solid">
          <fgColor rgb="FF95CD7E"/>
          <bgColor rgb="FF000000"/>
        </patternFill>
      </fill>
    </dxf>
    <dxf>
      <fill>
        <patternFill patternType="solid">
          <fgColor rgb="FF9FD07F"/>
          <bgColor rgb="FF000000"/>
        </patternFill>
      </fill>
    </dxf>
    <dxf>
      <fill>
        <patternFill patternType="solid">
          <fgColor rgb="FFA0D07F"/>
          <bgColor rgb="FF000000"/>
        </patternFill>
      </fill>
    </dxf>
    <dxf>
      <fill>
        <patternFill patternType="solid">
          <fgColor rgb="FFA2D07F"/>
          <bgColor rgb="FF000000"/>
        </patternFill>
      </fill>
    </dxf>
    <dxf>
      <fill>
        <patternFill patternType="solid">
          <fgColor rgb="FFA5D17F"/>
          <bgColor rgb="FF000000"/>
        </patternFill>
      </fill>
    </dxf>
    <dxf>
      <fill>
        <patternFill patternType="solid">
          <fgColor rgb="FFA7D27F"/>
          <bgColor rgb="FF000000"/>
        </patternFill>
      </fill>
    </dxf>
    <dxf>
      <fill>
        <patternFill patternType="solid">
          <fgColor rgb="FFAAD380"/>
          <bgColor rgb="FF000000"/>
        </patternFill>
      </fill>
    </dxf>
    <dxf>
      <fill>
        <patternFill patternType="solid">
          <fgColor rgb="FFABD380"/>
          <bgColor rgb="FF000000"/>
        </patternFill>
      </fill>
    </dxf>
    <dxf>
      <fill>
        <patternFill patternType="solid">
          <fgColor rgb="FFACD380"/>
          <bgColor rgb="FF000000"/>
        </patternFill>
      </fill>
    </dxf>
    <dxf>
      <fill>
        <patternFill patternType="solid">
          <fgColor rgb="FFB8D780"/>
          <bgColor rgb="FF000000"/>
        </patternFill>
      </fill>
    </dxf>
    <dxf>
      <fill>
        <patternFill patternType="solid">
          <fgColor rgb="FFBAD780"/>
          <bgColor rgb="FF000000"/>
        </patternFill>
      </fill>
    </dxf>
    <dxf>
      <fill>
        <patternFill patternType="solid">
          <fgColor rgb="FFBCD881"/>
          <bgColor rgb="FF000000"/>
        </patternFill>
      </fill>
    </dxf>
    <dxf>
      <fill>
        <patternFill patternType="solid">
          <fgColor rgb="FFBFD981"/>
          <bgColor rgb="FF000000"/>
        </patternFill>
      </fill>
    </dxf>
    <dxf>
      <fill>
        <patternFill patternType="solid">
          <fgColor rgb="FFC8DB81"/>
          <bgColor rgb="FF000000"/>
        </patternFill>
      </fill>
    </dxf>
    <dxf>
      <fill>
        <patternFill patternType="solid">
          <fgColor rgb="FFC9DC81"/>
          <bgColor rgb="FF000000"/>
        </patternFill>
      </fill>
    </dxf>
    <dxf>
      <fill>
        <patternFill patternType="solid">
          <fgColor rgb="FFCADC81"/>
          <bgColor rgb="FF000000"/>
        </patternFill>
      </fill>
    </dxf>
    <dxf>
      <fill>
        <patternFill patternType="solid">
          <fgColor rgb="FFCBDC81"/>
          <bgColor rgb="FF000000"/>
        </patternFill>
      </fill>
    </dxf>
    <dxf>
      <fill>
        <patternFill patternType="solid">
          <fgColor rgb="FFCDDD82"/>
          <bgColor rgb="FF000000"/>
        </patternFill>
      </fill>
    </dxf>
    <dxf>
      <fill>
        <patternFill patternType="solid">
          <fgColor rgb="FFCEDD82"/>
          <bgColor rgb="FF000000"/>
        </patternFill>
      </fill>
    </dxf>
    <dxf>
      <fill>
        <patternFill patternType="solid">
          <fgColor rgb="FFD2DE82"/>
          <bgColor rgb="FF000000"/>
        </patternFill>
      </fill>
    </dxf>
    <dxf>
      <fill>
        <patternFill patternType="solid">
          <fgColor rgb="FFD5DF82"/>
          <bgColor rgb="FF000000"/>
        </patternFill>
      </fill>
    </dxf>
    <dxf>
      <fill>
        <patternFill patternType="solid">
          <fgColor rgb="FFDDE182"/>
          <bgColor rgb="FF000000"/>
        </patternFill>
      </fill>
    </dxf>
    <dxf>
      <fill>
        <patternFill patternType="solid">
          <fgColor rgb="FFDEE283"/>
          <bgColor rgb="FF000000"/>
        </patternFill>
      </fill>
    </dxf>
    <dxf>
      <fill>
        <patternFill patternType="solid">
          <fgColor rgb="FFE1E383"/>
          <bgColor rgb="FF000000"/>
        </patternFill>
      </fill>
    </dxf>
    <dxf>
      <fill>
        <patternFill patternType="solid">
          <fgColor rgb="FFE4E483"/>
          <bgColor rgb="FF000000"/>
        </patternFill>
      </fill>
    </dxf>
    <dxf>
      <fill>
        <patternFill patternType="solid">
          <fgColor rgb="FFEAE583"/>
          <bgColor rgb="FF000000"/>
        </patternFill>
      </fill>
    </dxf>
    <dxf>
      <fill>
        <patternFill patternType="solid">
          <fgColor rgb="FFEBE683"/>
          <bgColor rgb="FF000000"/>
        </patternFill>
      </fill>
    </dxf>
    <dxf>
      <fill>
        <patternFill patternType="solid">
          <fgColor rgb="FFECE683"/>
          <bgColor rgb="FF000000"/>
        </patternFill>
      </fill>
    </dxf>
    <dxf>
      <fill>
        <patternFill patternType="solid">
          <fgColor rgb="FFEEE683"/>
          <bgColor rgb="FF000000"/>
        </patternFill>
      </fill>
    </dxf>
    <dxf>
      <fill>
        <patternFill patternType="solid">
          <fgColor rgb="FFEFE784"/>
          <bgColor rgb="FF000000"/>
        </patternFill>
      </fill>
    </dxf>
    <dxf>
      <fill>
        <patternFill patternType="solid">
          <fgColor rgb="FFF1E784"/>
          <bgColor rgb="FF000000"/>
        </patternFill>
      </fill>
    </dxf>
    <dxf>
      <fill>
        <patternFill patternType="solid">
          <fgColor rgb="FFF3E884"/>
          <bgColor rgb="FF000000"/>
        </patternFill>
      </fill>
    </dxf>
    <dxf>
      <fill>
        <patternFill patternType="solid">
          <fgColor rgb="FFF4E884"/>
          <bgColor rgb="FF000000"/>
        </patternFill>
      </fill>
    </dxf>
    <dxf>
      <fill>
        <patternFill patternType="solid">
          <fgColor rgb="FFF7E984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8716C"/>
          <bgColor rgb="FF000000"/>
        </patternFill>
      </fill>
    </dxf>
    <dxf>
      <fill>
        <patternFill patternType="solid">
          <fgColor rgb="FFF97C6E"/>
          <bgColor rgb="FF000000"/>
        </patternFill>
      </fill>
    </dxf>
    <dxf>
      <fill>
        <patternFill patternType="solid">
          <fgColor rgb="FFFA9172"/>
          <bgColor rgb="FF000000"/>
        </patternFill>
      </fill>
    </dxf>
    <dxf>
      <fill>
        <patternFill patternType="solid">
          <fgColor rgb="FFFA9874"/>
          <bgColor rgb="FF000000"/>
        </patternFill>
      </fill>
    </dxf>
    <dxf>
      <fill>
        <patternFill patternType="solid">
          <fgColor rgb="FFFA9A74"/>
          <bgColor rgb="FF000000"/>
        </patternFill>
      </fill>
    </dxf>
    <dxf>
      <fill>
        <patternFill patternType="solid">
          <fgColor rgb="FFFA9D75"/>
          <bgColor rgb="FF000000"/>
        </patternFill>
      </fill>
    </dxf>
    <dxf>
      <fill>
        <patternFill patternType="solid">
          <fgColor rgb="FFFAEA84"/>
          <bgColor rgb="FF000000"/>
        </patternFill>
      </fill>
    </dxf>
    <dxf>
      <fill>
        <patternFill patternType="solid">
          <fgColor rgb="FFFBA275"/>
          <bgColor rgb="FF000000"/>
        </patternFill>
      </fill>
    </dxf>
    <dxf>
      <fill>
        <patternFill patternType="solid">
          <fgColor rgb="FFFBA276"/>
          <bgColor rgb="FF000000"/>
        </patternFill>
      </fill>
    </dxf>
    <dxf>
      <fill>
        <patternFill patternType="solid">
          <fgColor rgb="FFFBA376"/>
          <bgColor rgb="FF000000"/>
        </patternFill>
      </fill>
    </dxf>
    <dxf>
      <fill>
        <patternFill patternType="solid">
          <fgColor rgb="FFFBA476"/>
          <bgColor rgb="FF000000"/>
        </patternFill>
      </fill>
    </dxf>
    <dxf>
      <fill>
        <patternFill patternType="solid">
          <fgColor rgb="FFFBA576"/>
          <bgColor rgb="FF000000"/>
        </patternFill>
      </fill>
    </dxf>
    <dxf>
      <fill>
        <patternFill patternType="solid">
          <fgColor rgb="FFFBAC78"/>
          <bgColor rgb="FF000000"/>
        </patternFill>
      </fill>
    </dxf>
    <dxf>
      <fill>
        <patternFill patternType="solid">
          <fgColor rgb="FFFBAD78"/>
          <bgColor rgb="FF000000"/>
        </patternFill>
      </fill>
    </dxf>
    <dxf>
      <fill>
        <patternFill patternType="solid">
          <fgColor rgb="FFFBAE78"/>
          <bgColor rgb="FF000000"/>
        </patternFill>
      </fill>
    </dxf>
    <dxf>
      <fill>
        <patternFill patternType="solid">
          <fgColor rgb="FFFBAF78"/>
          <bgColor rgb="FF000000"/>
        </patternFill>
      </fill>
    </dxf>
    <dxf>
      <fill>
        <patternFill patternType="solid">
          <fgColor rgb="FFFBB078"/>
          <bgColor rgb="FF000000"/>
        </patternFill>
      </fill>
    </dxf>
    <dxf>
      <fill>
        <patternFill patternType="solid">
          <fgColor rgb="FFFBB279"/>
          <bgColor rgb="FF000000"/>
        </patternFill>
      </fill>
    </dxf>
    <dxf>
      <fill>
        <patternFill patternType="solid">
          <fgColor rgb="FFFBB379"/>
          <bgColor rgb="FF000000"/>
        </patternFill>
      </fill>
    </dxf>
    <dxf>
      <fill>
        <patternFill patternType="solid">
          <fgColor rgb="FFFBEA84"/>
          <bgColor rgb="FF000000"/>
        </patternFill>
      </fill>
    </dxf>
    <dxf>
      <fill>
        <patternFill patternType="solid">
          <fgColor rgb="FFFCB77A"/>
          <bgColor rgb="FF000000"/>
        </patternFill>
      </fill>
    </dxf>
    <dxf>
      <fill>
        <patternFill patternType="solid">
          <fgColor rgb="FFFCBB7A"/>
          <bgColor rgb="FF000000"/>
        </patternFill>
      </fill>
    </dxf>
    <dxf>
      <fill>
        <patternFill patternType="solid">
          <fgColor rgb="FFFCBC7B"/>
          <bgColor rgb="FF000000"/>
        </patternFill>
      </fill>
    </dxf>
    <dxf>
      <fill>
        <patternFill patternType="solid">
          <fgColor rgb="FFFCBD7B"/>
          <bgColor rgb="FF000000"/>
        </patternFill>
      </fill>
    </dxf>
    <dxf>
      <fill>
        <patternFill patternType="solid">
          <fgColor rgb="FFFCBF7B"/>
          <bgColor rgb="FF000000"/>
        </patternFill>
      </fill>
    </dxf>
    <dxf>
      <fill>
        <patternFill patternType="solid">
          <fgColor rgb="FFFCC17B"/>
          <bgColor rgb="FF000000"/>
        </patternFill>
      </fill>
    </dxf>
    <dxf>
      <fill>
        <patternFill patternType="solid">
          <fgColor rgb="FFFCC27C"/>
          <bgColor rgb="FF000000"/>
        </patternFill>
      </fill>
    </dxf>
    <dxf>
      <fill>
        <patternFill patternType="solid">
          <fgColor rgb="FFFCC37C"/>
          <bgColor rgb="FF000000"/>
        </patternFill>
      </fill>
    </dxf>
    <dxf>
      <fill>
        <patternFill patternType="solid">
          <fgColor rgb="FFFCC47C"/>
          <bgColor rgb="FF000000"/>
        </patternFill>
      </fill>
    </dxf>
    <dxf>
      <fill>
        <patternFill patternType="solid">
          <fgColor rgb="FFFCC57C"/>
          <bgColor rgb="FF000000"/>
        </patternFill>
      </fill>
    </dxf>
    <dxf>
      <fill>
        <patternFill patternType="solid">
          <fgColor rgb="FFFCEB84"/>
          <bgColor rgb="FF000000"/>
        </patternFill>
      </fill>
    </dxf>
    <dxf>
      <fill>
        <patternFill patternType="solid">
          <fgColor rgb="FFFDC57C"/>
          <bgColor rgb="FF000000"/>
        </patternFill>
      </fill>
    </dxf>
    <dxf>
      <fill>
        <patternFill patternType="solid">
          <fgColor rgb="FFFDC87D"/>
          <bgColor rgb="FF000000"/>
        </patternFill>
      </fill>
    </dxf>
    <dxf>
      <fill>
        <patternFill patternType="solid">
          <fgColor rgb="FFFDCA7D"/>
          <bgColor rgb="FF000000"/>
        </patternFill>
      </fill>
    </dxf>
    <dxf>
      <fill>
        <patternFill patternType="solid">
          <fgColor rgb="FFFDCD7E"/>
          <bgColor rgb="FF000000"/>
        </patternFill>
      </fill>
    </dxf>
    <dxf>
      <fill>
        <patternFill patternType="solid">
          <fgColor rgb="FFFDCE7E"/>
          <bgColor rgb="FF000000"/>
        </patternFill>
      </fill>
    </dxf>
    <dxf>
      <fill>
        <patternFill patternType="solid">
          <fgColor rgb="FFFDCF7E"/>
          <bgColor rgb="FF000000"/>
        </patternFill>
      </fill>
    </dxf>
    <dxf>
      <fill>
        <patternFill patternType="solid">
          <fgColor rgb="FFFDD27F"/>
          <bgColor rgb="FF000000"/>
        </patternFill>
      </fill>
    </dxf>
    <dxf>
      <fill>
        <patternFill patternType="solid">
          <fgColor rgb="FFFDD47F"/>
          <bgColor rgb="FF000000"/>
        </patternFill>
      </fill>
    </dxf>
    <dxf>
      <fill>
        <patternFill patternType="solid">
          <fgColor rgb="FFFDD57F"/>
          <bgColor rgb="FF000000"/>
        </patternFill>
      </fill>
    </dxf>
    <dxf>
      <fill>
        <patternFill patternType="solid">
          <fgColor rgb="FFFDD680"/>
          <bgColor rgb="FF000000"/>
        </patternFill>
      </fill>
    </dxf>
    <dxf>
      <fill>
        <patternFill patternType="solid">
          <fgColor rgb="FFFDD780"/>
          <bgColor rgb="FF000000"/>
        </patternFill>
      </fill>
    </dxf>
    <dxf>
      <fill>
        <patternFill patternType="solid">
          <fgColor rgb="FFFDD880"/>
          <bgColor rgb="FF000000"/>
        </patternFill>
      </fill>
    </dxf>
    <dxf>
      <fill>
        <patternFill patternType="solid">
          <fgColor rgb="FFFED880"/>
          <bgColor rgb="FF000000"/>
        </patternFill>
      </fill>
    </dxf>
    <dxf>
      <fill>
        <patternFill patternType="solid">
          <fgColor rgb="FFFEDC81"/>
          <bgColor rgb="FF000000"/>
        </patternFill>
      </fill>
    </dxf>
    <dxf>
      <fill>
        <patternFill patternType="solid">
          <fgColor rgb="FFFEDD81"/>
          <bgColor rgb="FF000000"/>
        </patternFill>
      </fill>
    </dxf>
    <dxf>
      <fill>
        <patternFill patternType="solid">
          <fgColor rgb="FFFEE382"/>
          <bgColor rgb="FF000000"/>
        </patternFill>
      </fill>
    </dxf>
    <dxf>
      <fill>
        <patternFill patternType="solid">
          <fgColor rgb="FFFEE683"/>
          <bgColor rgb="FF000000"/>
        </patternFill>
      </fill>
    </dxf>
    <dxf>
      <fill>
        <patternFill patternType="solid">
          <fgColor rgb="FFFEE883"/>
          <bgColor rgb="FF000000"/>
        </patternFill>
      </fill>
    </dxf>
    <dxf>
      <fill>
        <patternFill patternType="solid">
          <fgColor rgb="FFFEEA83"/>
          <bgColor rgb="FF000000"/>
        </patternFill>
      </fill>
    </dxf>
    <dxf>
      <fill>
        <patternFill patternType="solid">
          <fgColor rgb="FFFEEB84"/>
          <bgColor rgb="FF000000"/>
        </patternFill>
      </fill>
    </dxf>
    <dxf>
      <fill>
        <patternFill patternType="solid">
          <fgColor rgb="FFFFEB84"/>
          <bgColor rgb="FF000000"/>
        </patternFill>
      </fill>
    </dxf>
    <dxf>
      <fill>
        <patternFill patternType="solid">
          <fgColor rgb="FF66BF7C"/>
          <bgColor rgb="FF000000"/>
        </patternFill>
      </fill>
    </dxf>
    <dxf>
      <fill>
        <patternFill patternType="solid">
          <fgColor rgb="FF67C07C"/>
          <bgColor rgb="FF000000"/>
        </patternFill>
      </fill>
    </dxf>
    <dxf>
      <fill>
        <patternFill patternType="solid">
          <fgColor rgb="FF6DC17C"/>
          <bgColor rgb="FF000000"/>
        </patternFill>
      </fill>
    </dxf>
    <dxf>
      <fill>
        <patternFill patternType="solid">
          <fgColor rgb="FF70C27C"/>
          <bgColor rgb="FF000000"/>
        </patternFill>
      </fill>
    </dxf>
    <dxf>
      <fill>
        <patternFill patternType="solid">
          <fgColor rgb="FF73C37C"/>
          <bgColor rgb="FF000000"/>
        </patternFill>
      </fill>
    </dxf>
    <dxf>
      <fill>
        <patternFill patternType="solid">
          <fgColor rgb="FF74C37C"/>
          <bgColor rgb="FF000000"/>
        </patternFill>
      </fill>
    </dxf>
    <dxf>
      <fill>
        <patternFill patternType="solid">
          <fgColor rgb="FF76C47D"/>
          <bgColor rgb="FF000000"/>
        </patternFill>
      </fill>
    </dxf>
    <dxf>
      <fill>
        <patternFill patternType="solid">
          <fgColor rgb="FF7CC67D"/>
          <bgColor rgb="FF000000"/>
        </patternFill>
      </fill>
    </dxf>
    <dxf>
      <fill>
        <patternFill patternType="solid">
          <fgColor rgb="FF80C77D"/>
          <bgColor rgb="FF000000"/>
        </patternFill>
      </fill>
    </dxf>
    <dxf>
      <fill>
        <patternFill patternType="solid">
          <fgColor rgb="FF89C97E"/>
          <bgColor rgb="FF000000"/>
        </patternFill>
      </fill>
    </dxf>
    <dxf>
      <fill>
        <patternFill patternType="solid">
          <fgColor rgb="FF8BCA7E"/>
          <bgColor rgb="FF000000"/>
        </patternFill>
      </fill>
    </dxf>
    <dxf>
      <fill>
        <patternFill patternType="solid">
          <fgColor rgb="FF90CB7E"/>
          <bgColor rgb="FF000000"/>
        </patternFill>
      </fill>
    </dxf>
    <dxf>
      <fill>
        <patternFill patternType="solid">
          <fgColor rgb="FF9DCF7F"/>
          <bgColor rgb="FF000000"/>
        </patternFill>
      </fill>
    </dxf>
    <dxf>
      <fill>
        <patternFill patternType="solid">
          <fgColor rgb="FF9ECF7F"/>
          <bgColor rgb="FF000000"/>
        </patternFill>
      </fill>
    </dxf>
    <dxf>
      <fill>
        <patternFill patternType="solid">
          <fgColor rgb="FFA9D380"/>
          <bgColor rgb="FF000000"/>
        </patternFill>
      </fill>
    </dxf>
    <dxf>
      <fill>
        <patternFill patternType="solid">
          <fgColor rgb="FFB6D680"/>
          <bgColor rgb="FF000000"/>
        </patternFill>
      </fill>
    </dxf>
    <dxf>
      <fill>
        <patternFill patternType="solid">
          <fgColor rgb="FFB7D780"/>
          <bgColor rgb="FF000000"/>
        </patternFill>
      </fill>
    </dxf>
    <dxf>
      <fill>
        <patternFill patternType="solid">
          <fgColor rgb="FFBDD881"/>
          <bgColor rgb="FF000000"/>
        </patternFill>
      </fill>
    </dxf>
    <dxf>
      <fill>
        <patternFill patternType="solid">
          <fgColor rgb="FFCFDE82"/>
          <bgColor rgb="FF000000"/>
        </patternFill>
      </fill>
    </dxf>
    <dxf>
      <fill>
        <patternFill patternType="solid">
          <fgColor rgb="FFD8E082"/>
          <bgColor rgb="FF000000"/>
        </patternFill>
      </fill>
    </dxf>
    <dxf>
      <fill>
        <patternFill patternType="solid">
          <fgColor rgb="FFD9E082"/>
          <bgColor rgb="FF000000"/>
        </patternFill>
      </fill>
    </dxf>
    <dxf>
      <fill>
        <patternFill patternType="solid">
          <fgColor rgb="FFDBE182"/>
          <bgColor rgb="FF000000"/>
        </patternFill>
      </fill>
    </dxf>
    <dxf>
      <fill>
        <patternFill patternType="solid">
          <fgColor rgb="FFDCE182"/>
          <bgColor rgb="FF000000"/>
        </patternFill>
      </fill>
    </dxf>
    <dxf>
      <fill>
        <patternFill patternType="solid">
          <fgColor rgb="FFDFE283"/>
          <bgColor rgb="FF000000"/>
        </patternFill>
      </fill>
    </dxf>
    <dxf>
      <fill>
        <patternFill patternType="solid">
          <fgColor rgb="FFE2E383"/>
          <bgColor rgb="FF000000"/>
        </patternFill>
      </fill>
    </dxf>
    <dxf>
      <fill>
        <patternFill patternType="solid">
          <fgColor rgb="FFE6E483"/>
          <bgColor rgb="FF000000"/>
        </patternFill>
      </fill>
    </dxf>
    <dxf>
      <fill>
        <patternFill patternType="solid">
          <fgColor rgb="FFE9E583"/>
          <bgColor rgb="FF000000"/>
        </patternFill>
      </fill>
    </dxf>
    <dxf>
      <fill>
        <patternFill patternType="solid">
          <fgColor rgb="FFEDE683"/>
          <bgColor rgb="FF000000"/>
        </patternFill>
      </fill>
    </dxf>
    <dxf>
      <fill>
        <patternFill patternType="solid">
          <fgColor rgb="FFF0E784"/>
          <bgColor rgb="FF000000"/>
        </patternFill>
      </fill>
    </dxf>
    <dxf>
      <fill>
        <patternFill patternType="solid">
          <fgColor rgb="FFF8756D"/>
          <bgColor rgb="FF000000"/>
        </patternFill>
      </fill>
    </dxf>
    <dxf>
      <fill>
        <patternFill patternType="solid">
          <fgColor rgb="FFF87A6E"/>
          <bgColor rgb="FF000000"/>
        </patternFill>
      </fill>
    </dxf>
    <dxf>
      <fill>
        <patternFill patternType="solid">
          <fgColor rgb="FFF8E984"/>
          <bgColor rgb="FF000000"/>
        </patternFill>
      </fill>
    </dxf>
    <dxf>
      <fill>
        <patternFill patternType="solid">
          <fgColor rgb="FFF97E6F"/>
          <bgColor rgb="FF000000"/>
        </patternFill>
      </fill>
    </dxf>
    <dxf>
      <fill>
        <patternFill patternType="solid">
          <fgColor rgb="FFF97F6F"/>
          <bgColor rgb="FF000000"/>
        </patternFill>
      </fill>
    </dxf>
    <dxf>
      <fill>
        <patternFill patternType="solid">
          <fgColor rgb="FFF9816F"/>
          <bgColor rgb="FF000000"/>
        </patternFill>
      </fill>
    </dxf>
    <dxf>
      <fill>
        <patternFill patternType="solid">
          <fgColor rgb="FFF98570"/>
          <bgColor rgb="FF000000"/>
        </patternFill>
      </fill>
    </dxf>
    <dxf>
      <fill>
        <patternFill patternType="solid">
          <fgColor rgb="FFF98770"/>
          <bgColor rgb="FF000000"/>
        </patternFill>
      </fill>
    </dxf>
    <dxf>
      <fill>
        <patternFill patternType="solid">
          <fgColor rgb="FFF98B71"/>
          <bgColor rgb="FF000000"/>
        </patternFill>
      </fill>
    </dxf>
    <dxf>
      <fill>
        <patternFill patternType="solid">
          <fgColor rgb="FFF98C71"/>
          <bgColor rgb="FF000000"/>
        </patternFill>
      </fill>
    </dxf>
    <dxf>
      <fill>
        <patternFill patternType="solid">
          <fgColor rgb="FFF9EA84"/>
          <bgColor rgb="FF000000"/>
        </patternFill>
      </fill>
    </dxf>
    <dxf>
      <fill>
        <patternFill patternType="solid">
          <fgColor rgb="FFFA9072"/>
          <bgColor rgb="FF000000"/>
        </patternFill>
      </fill>
    </dxf>
    <dxf>
      <fill>
        <patternFill patternType="solid">
          <fgColor rgb="FFFA9272"/>
          <bgColor rgb="FF000000"/>
        </patternFill>
      </fill>
    </dxf>
    <dxf>
      <fill>
        <patternFill patternType="solid">
          <fgColor rgb="FFFA9373"/>
          <bgColor rgb="FF000000"/>
        </patternFill>
      </fill>
    </dxf>
    <dxf>
      <fill>
        <patternFill patternType="solid">
          <fgColor rgb="FFFA9573"/>
          <bgColor rgb="FF000000"/>
        </patternFill>
      </fill>
    </dxf>
    <dxf>
      <fill>
        <patternFill patternType="solid">
          <fgColor rgb="FFFA9673"/>
          <bgColor rgb="FF000000"/>
        </patternFill>
      </fill>
    </dxf>
    <dxf>
      <fill>
        <patternFill patternType="solid">
          <fgColor rgb="FFFA9974"/>
          <bgColor rgb="FF000000"/>
        </patternFill>
      </fill>
    </dxf>
    <dxf>
      <fill>
        <patternFill patternType="solid">
          <fgColor rgb="FFFBA075"/>
          <bgColor rgb="FF000000"/>
        </patternFill>
      </fill>
    </dxf>
    <dxf>
      <fill>
        <patternFill patternType="solid">
          <fgColor rgb="FFFBA175"/>
          <bgColor rgb="FF000000"/>
        </patternFill>
      </fill>
    </dxf>
    <dxf>
      <fill>
        <patternFill patternType="solid">
          <fgColor rgb="FFFBA777"/>
          <bgColor rgb="FF000000"/>
        </patternFill>
      </fill>
    </dxf>
    <dxf>
      <fill>
        <patternFill patternType="solid">
          <fgColor rgb="FFFBA977"/>
          <bgColor rgb="FF000000"/>
        </patternFill>
      </fill>
    </dxf>
    <dxf>
      <fill>
        <patternFill patternType="solid">
          <fgColor rgb="FFFBAA77"/>
          <bgColor rgb="FF000000"/>
        </patternFill>
      </fill>
    </dxf>
    <dxf>
      <fill>
        <patternFill patternType="solid">
          <fgColor rgb="FFFCB379"/>
          <bgColor rgb="FF000000"/>
        </patternFill>
      </fill>
    </dxf>
    <dxf>
      <fill>
        <patternFill patternType="solid">
          <fgColor rgb="FFFCB679"/>
          <bgColor rgb="FF000000"/>
        </patternFill>
      </fill>
    </dxf>
    <dxf>
      <fill>
        <patternFill patternType="solid">
          <fgColor rgb="FFFCBA7A"/>
          <bgColor rgb="FF000000"/>
        </patternFill>
      </fill>
    </dxf>
    <dxf>
      <fill>
        <patternFill patternType="solid">
          <fgColor rgb="FFFCEA84"/>
          <bgColor rgb="FF000000"/>
        </patternFill>
      </fill>
    </dxf>
    <dxf>
      <fill>
        <patternFill patternType="solid">
          <fgColor rgb="FFFDCB7E"/>
          <bgColor rgb="FF000000"/>
        </patternFill>
      </fill>
    </dxf>
    <dxf>
      <fill>
        <patternFill patternType="solid">
          <fgColor rgb="FFFDCC7E"/>
          <bgColor rgb="FF000000"/>
        </patternFill>
      </fill>
    </dxf>
    <dxf>
      <fill>
        <patternFill patternType="solid">
          <fgColor rgb="FFFDD07E"/>
          <bgColor rgb="FF000000"/>
        </patternFill>
      </fill>
    </dxf>
    <dxf>
      <fill>
        <patternFill patternType="solid">
          <fgColor rgb="FFFDD37F"/>
          <bgColor rgb="FF000000"/>
        </patternFill>
      </fill>
    </dxf>
    <dxf>
      <fill>
        <patternFill patternType="solid">
          <fgColor rgb="FFFDEB84"/>
          <bgColor rgb="FF000000"/>
        </patternFill>
      </fill>
    </dxf>
    <dxf>
      <fill>
        <patternFill patternType="solid">
          <fgColor rgb="FFFED980"/>
          <bgColor rgb="FF000000"/>
        </patternFill>
      </fill>
    </dxf>
    <dxf>
      <fill>
        <patternFill patternType="solid">
          <fgColor rgb="FFFEDA80"/>
          <bgColor rgb="FF000000"/>
        </patternFill>
      </fill>
    </dxf>
    <dxf>
      <fill>
        <patternFill patternType="solid">
          <fgColor rgb="FFFEDB80"/>
          <bgColor rgb="FF000000"/>
        </patternFill>
      </fill>
    </dxf>
    <dxf>
      <fill>
        <patternFill patternType="solid">
          <fgColor rgb="FFFEDE81"/>
          <bgColor rgb="FF000000"/>
        </patternFill>
      </fill>
    </dxf>
    <dxf>
      <fill>
        <patternFill patternType="solid">
          <fgColor rgb="FFFEE081"/>
          <bgColor rgb="FF000000"/>
        </patternFill>
      </fill>
    </dxf>
    <dxf>
      <fill>
        <patternFill patternType="solid">
          <fgColor rgb="FFFEE182"/>
          <bgColor rgb="FF000000"/>
        </patternFill>
      </fill>
    </dxf>
    <dxf>
      <fill>
        <patternFill patternType="solid">
          <fgColor rgb="FFFEE482"/>
          <bgColor rgb="FF000000"/>
        </patternFill>
      </fill>
    </dxf>
    <dxf>
      <fill>
        <patternFill patternType="solid">
          <fgColor rgb="FFFEE783"/>
          <bgColor rgb="FF000000"/>
        </patternFill>
      </fill>
    </dxf>
    <dxf>
      <fill>
        <patternFill patternType="solid">
          <fgColor rgb="FFFEE983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69C07C"/>
          <bgColor rgb="FF000000"/>
        </patternFill>
      </fill>
    </dxf>
    <dxf>
      <fill>
        <patternFill patternType="solid">
          <fgColor rgb="FF6BC17C"/>
          <bgColor rgb="FF000000"/>
        </patternFill>
      </fill>
    </dxf>
    <dxf>
      <fill>
        <patternFill patternType="solid">
          <fgColor rgb="FF72C37C"/>
          <bgColor rgb="FF000000"/>
        </patternFill>
      </fill>
    </dxf>
    <dxf>
      <fill>
        <patternFill patternType="solid">
          <fgColor rgb="FF75C47D"/>
          <bgColor rgb="FF000000"/>
        </patternFill>
      </fill>
    </dxf>
    <dxf>
      <fill>
        <patternFill patternType="solid">
          <fgColor rgb="FF77C47D"/>
          <bgColor rgb="FF000000"/>
        </patternFill>
      </fill>
    </dxf>
    <dxf>
      <fill>
        <patternFill patternType="solid">
          <fgColor rgb="FF78C47D"/>
          <bgColor rgb="FF000000"/>
        </patternFill>
      </fill>
    </dxf>
    <dxf>
      <fill>
        <patternFill patternType="solid">
          <fgColor rgb="FF87C97E"/>
          <bgColor rgb="FF000000"/>
        </patternFill>
      </fill>
    </dxf>
    <dxf>
      <fill>
        <patternFill patternType="solid">
          <fgColor rgb="FF88C97E"/>
          <bgColor rgb="FF000000"/>
        </patternFill>
      </fill>
    </dxf>
    <dxf>
      <fill>
        <patternFill patternType="solid">
          <fgColor rgb="FF8DCA7E"/>
          <bgColor rgb="FF000000"/>
        </patternFill>
      </fill>
    </dxf>
    <dxf>
      <fill>
        <patternFill patternType="solid">
          <fgColor rgb="FF8DCB7E"/>
          <bgColor rgb="FF000000"/>
        </patternFill>
      </fill>
    </dxf>
    <dxf>
      <fill>
        <patternFill patternType="solid">
          <fgColor rgb="FF94CC7E"/>
          <bgColor rgb="FF000000"/>
        </patternFill>
      </fill>
    </dxf>
    <dxf>
      <fill>
        <patternFill patternType="solid">
          <fgColor rgb="FF9CCF7F"/>
          <bgColor rgb="FF000000"/>
        </patternFill>
      </fill>
    </dxf>
    <dxf>
      <fill>
        <patternFill patternType="solid">
          <fgColor rgb="FFA9D27F"/>
          <bgColor rgb="FF000000"/>
        </patternFill>
      </fill>
    </dxf>
    <dxf>
      <fill>
        <patternFill patternType="solid">
          <fgColor rgb="FFB1D580"/>
          <bgColor rgb="FF000000"/>
        </patternFill>
      </fill>
    </dxf>
    <dxf>
      <fill>
        <patternFill patternType="solid">
          <fgColor rgb="FFBED981"/>
          <bgColor rgb="FF000000"/>
        </patternFill>
      </fill>
    </dxf>
    <dxf>
      <fill>
        <patternFill patternType="solid">
          <fgColor rgb="FFC0D981"/>
          <bgColor rgb="FF000000"/>
        </patternFill>
      </fill>
    </dxf>
    <dxf>
      <fill>
        <patternFill patternType="solid">
          <fgColor rgb="FFC5DB81"/>
          <bgColor rgb="FF000000"/>
        </patternFill>
      </fill>
    </dxf>
    <dxf>
      <fill>
        <patternFill patternType="solid">
          <fgColor rgb="FFC6DB81"/>
          <bgColor rgb="FF000000"/>
        </patternFill>
      </fill>
    </dxf>
    <dxf>
      <fill>
        <patternFill patternType="solid">
          <fgColor rgb="FFC7DB81"/>
          <bgColor rgb="FF000000"/>
        </patternFill>
      </fill>
    </dxf>
    <dxf>
      <fill>
        <patternFill patternType="solid">
          <fgColor rgb="FFD3DF82"/>
          <bgColor rgb="FF000000"/>
        </patternFill>
      </fill>
    </dxf>
    <dxf>
      <fill>
        <patternFill patternType="solid">
          <fgColor rgb="FFE3E383"/>
          <bgColor rgb="FF000000"/>
        </patternFill>
      </fill>
    </dxf>
    <dxf>
      <fill>
        <patternFill patternType="solid">
          <fgColor rgb="FFE7E483"/>
          <bgColor rgb="FF000000"/>
        </patternFill>
      </fill>
    </dxf>
    <dxf>
      <fill>
        <patternFill patternType="solid">
          <fgColor rgb="FFEEE784"/>
          <bgColor rgb="FF000000"/>
        </patternFill>
      </fill>
    </dxf>
    <dxf>
      <fill>
        <patternFill patternType="solid">
          <fgColor rgb="FFF6E984"/>
          <bgColor rgb="FF000000"/>
        </patternFill>
      </fill>
    </dxf>
    <dxf>
      <fill>
        <patternFill patternType="solid">
          <fgColor rgb="FFF86D6B"/>
          <bgColor rgb="FF000000"/>
        </patternFill>
      </fill>
    </dxf>
    <dxf>
      <fill>
        <patternFill patternType="solid">
          <fgColor rgb="FFF8706C"/>
          <bgColor rgb="FF000000"/>
        </patternFill>
      </fill>
    </dxf>
    <dxf>
      <fill>
        <patternFill patternType="solid">
          <fgColor rgb="FFF8736D"/>
          <bgColor rgb="FF000000"/>
        </patternFill>
      </fill>
    </dxf>
    <dxf>
      <fill>
        <patternFill patternType="solid">
          <fgColor rgb="FFF8776D"/>
          <bgColor rgb="FF000000"/>
        </patternFill>
      </fill>
    </dxf>
    <dxf>
      <fill>
        <patternFill patternType="solid">
          <fgColor rgb="FFF9826F"/>
          <bgColor rgb="FF000000"/>
        </patternFill>
      </fill>
    </dxf>
    <dxf>
      <fill>
        <patternFill patternType="solid">
          <fgColor rgb="FFF98370"/>
          <bgColor rgb="FF000000"/>
        </patternFill>
      </fill>
    </dxf>
    <dxf>
      <fill>
        <patternFill patternType="solid">
          <fgColor rgb="FFF98670"/>
          <bgColor rgb="FF000000"/>
        </patternFill>
      </fill>
    </dxf>
    <dxf>
      <fill>
        <patternFill patternType="solid">
          <fgColor rgb="FFF98871"/>
          <bgColor rgb="FF000000"/>
        </patternFill>
      </fill>
    </dxf>
    <dxf>
      <fill>
        <patternFill patternType="solid">
          <fgColor rgb="FFF98971"/>
          <bgColor rgb="FF000000"/>
        </patternFill>
      </fill>
    </dxf>
    <dxf>
      <fill>
        <patternFill patternType="solid">
          <fgColor rgb="FFF98D72"/>
          <bgColor rgb="FF000000"/>
        </patternFill>
      </fill>
    </dxf>
    <dxf>
      <fill>
        <patternFill patternType="solid">
          <fgColor rgb="FFFA9773"/>
          <bgColor rgb="FF000000"/>
        </patternFill>
      </fill>
    </dxf>
    <dxf>
      <fill>
        <patternFill patternType="solid">
          <fgColor rgb="FFFA9E75"/>
          <bgColor rgb="FF000000"/>
        </patternFill>
      </fill>
    </dxf>
    <dxf>
      <fill>
        <patternFill patternType="solid">
          <fgColor rgb="FFFCB579"/>
          <bgColor rgb="FF000000"/>
        </patternFill>
      </fill>
    </dxf>
    <dxf>
      <fill>
        <patternFill patternType="solid">
          <fgColor rgb="FFFDCB7D"/>
          <bgColor rgb="FF000000"/>
        </patternFill>
      </fill>
    </dxf>
    <dxf>
      <fill>
        <patternFill patternType="solid">
          <fgColor rgb="FFFEDB81"/>
          <bgColor rgb="FF000000"/>
        </patternFill>
      </fill>
    </dxf>
    <dxf>
      <fill>
        <patternFill patternType="solid">
          <fgColor rgb="FFFEE082"/>
          <bgColor rgb="FF000000"/>
        </patternFill>
      </fill>
    </dxf>
    <dxf>
      <fill>
        <patternFill patternType="solid">
          <fgColor rgb="FFFEE282"/>
          <bgColor rgb="FF000000"/>
        </patternFill>
      </fill>
    </dxf>
    <dxf>
      <fill>
        <patternFill patternType="solid">
          <fgColor rgb="FF6AC17C"/>
          <bgColor rgb="FF000000"/>
        </patternFill>
      </fill>
    </dxf>
    <dxf>
      <fill>
        <patternFill patternType="solid">
          <fgColor rgb="FF6CC17C"/>
          <bgColor rgb="FF000000"/>
        </patternFill>
      </fill>
    </dxf>
    <dxf>
      <fill>
        <patternFill patternType="solid">
          <fgColor rgb="FF6EC27C"/>
          <bgColor rgb="FF000000"/>
        </patternFill>
      </fill>
    </dxf>
    <dxf>
      <fill>
        <patternFill patternType="solid">
          <fgColor rgb="FF75C37C"/>
          <bgColor rgb="FF000000"/>
        </patternFill>
      </fill>
    </dxf>
    <dxf>
      <fill>
        <patternFill patternType="solid">
          <fgColor rgb="FF78C57D"/>
          <bgColor rgb="FF000000"/>
        </patternFill>
      </fill>
    </dxf>
    <dxf>
      <fill>
        <patternFill patternType="solid">
          <fgColor rgb="FF8ACA7E"/>
          <bgColor rgb="FF000000"/>
        </patternFill>
      </fill>
    </dxf>
    <dxf>
      <fill>
        <patternFill patternType="solid">
          <fgColor rgb="FF8CCA7E"/>
          <bgColor rgb="FF000000"/>
        </patternFill>
      </fill>
    </dxf>
    <dxf>
      <fill>
        <patternFill patternType="solid">
          <fgColor rgb="FF96CD7E"/>
          <bgColor rgb="FF000000"/>
        </patternFill>
      </fill>
    </dxf>
    <dxf>
      <fill>
        <patternFill patternType="solid">
          <fgColor rgb="FF99CE7F"/>
          <bgColor rgb="FF000000"/>
        </patternFill>
      </fill>
    </dxf>
    <dxf>
      <fill>
        <patternFill patternType="solid">
          <fgColor rgb="FF9BCF7F"/>
          <bgColor rgb="FF000000"/>
        </patternFill>
      </fill>
    </dxf>
    <dxf>
      <fill>
        <patternFill patternType="solid">
          <fgColor rgb="FFC2DA81"/>
          <bgColor rgb="FF000000"/>
        </patternFill>
      </fill>
    </dxf>
    <dxf>
      <fill>
        <patternFill patternType="solid">
          <fgColor rgb="FFC3DA81"/>
          <bgColor rgb="FF000000"/>
        </patternFill>
      </fill>
    </dxf>
    <dxf>
      <fill>
        <patternFill patternType="solid">
          <fgColor rgb="FFC4DA81"/>
          <bgColor rgb="FF000000"/>
        </patternFill>
      </fill>
    </dxf>
    <dxf>
      <fill>
        <patternFill patternType="solid">
          <fgColor rgb="FFE0E283"/>
          <bgColor rgb="FF000000"/>
        </patternFill>
      </fill>
    </dxf>
    <dxf>
      <fill>
        <patternFill patternType="solid">
          <fgColor rgb="FFE8E583"/>
          <bgColor rgb="FF000000"/>
        </patternFill>
      </fill>
    </dxf>
    <dxf>
      <fill>
        <patternFill patternType="solid">
          <fgColor rgb="FFF5E984"/>
          <bgColor rgb="FF000000"/>
        </patternFill>
      </fill>
    </dxf>
    <dxf>
      <fill>
        <patternFill patternType="solid">
          <fgColor rgb="FFF86C6B"/>
          <bgColor rgb="FF000000"/>
        </patternFill>
      </fill>
    </dxf>
    <dxf>
      <fill>
        <patternFill patternType="solid">
          <fgColor rgb="FFF8746D"/>
          <bgColor rgb="FF000000"/>
        </patternFill>
      </fill>
    </dxf>
    <dxf>
      <fill>
        <patternFill patternType="solid">
          <fgColor rgb="FFF8766D"/>
          <bgColor rgb="FF000000"/>
        </patternFill>
      </fill>
    </dxf>
    <dxf>
      <fill>
        <patternFill patternType="solid">
          <fgColor rgb="FFF87B6E"/>
          <bgColor rgb="FF000000"/>
        </patternFill>
      </fill>
    </dxf>
    <dxf>
      <fill>
        <patternFill patternType="solid">
          <fgColor rgb="FFF97B6E"/>
          <bgColor rgb="FF000000"/>
        </patternFill>
      </fill>
    </dxf>
    <dxf>
      <fill>
        <patternFill patternType="solid">
          <fgColor rgb="FFF97D6E"/>
          <bgColor rgb="FF000000"/>
        </patternFill>
      </fill>
    </dxf>
    <dxf>
      <fill>
        <patternFill patternType="solid">
          <fgColor rgb="FFF98D71"/>
          <bgColor rgb="FF000000"/>
        </patternFill>
      </fill>
    </dxf>
    <dxf>
      <fill>
        <patternFill patternType="solid">
          <fgColor rgb="FFFA8E72"/>
          <bgColor rgb="FF000000"/>
        </patternFill>
      </fill>
    </dxf>
    <dxf>
      <fill>
        <patternFill patternType="solid">
          <fgColor rgb="FFFA8F72"/>
          <bgColor rgb="FF000000"/>
        </patternFill>
      </fill>
    </dxf>
    <dxf>
      <fill>
        <patternFill patternType="solid">
          <fgColor rgb="FFFA9473"/>
          <bgColor rgb="FF000000"/>
        </patternFill>
      </fill>
    </dxf>
    <dxf>
      <fill>
        <patternFill patternType="solid">
          <fgColor rgb="FFFBA676"/>
          <bgColor rgb="FF000000"/>
        </patternFill>
      </fill>
    </dxf>
    <dxf>
      <fill>
        <patternFill patternType="solid">
          <fgColor rgb="FFFBAC77"/>
          <bgColor rgb="FF000000"/>
        </patternFill>
      </fill>
    </dxf>
    <dxf>
      <fill>
        <patternFill patternType="solid">
          <fgColor rgb="FFFDC67C"/>
          <bgColor rgb="FF000000"/>
        </patternFill>
      </fill>
    </dxf>
    <dxf>
      <fill>
        <patternFill patternType="solid">
          <fgColor rgb="FFFDD67F"/>
          <bgColor rgb="FF000000"/>
        </patternFill>
      </fill>
    </dxf>
    <dxf>
      <fill>
        <patternFill patternType="solid">
          <fgColor rgb="FFFEDF81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7AC57D"/>
          <bgColor rgb="FF000000"/>
        </patternFill>
      </fill>
    </dxf>
    <dxf>
      <fill>
        <patternFill patternType="solid">
          <fgColor rgb="FF7BC57D"/>
          <bgColor rgb="FF000000"/>
        </patternFill>
      </fill>
    </dxf>
    <dxf>
      <fill>
        <patternFill patternType="solid">
          <fgColor rgb="FF82C77D"/>
          <bgColor rgb="FF000000"/>
        </patternFill>
      </fill>
    </dxf>
    <dxf>
      <fill>
        <patternFill patternType="solid">
          <fgColor rgb="FF85C87D"/>
          <bgColor rgb="FF000000"/>
        </patternFill>
      </fill>
    </dxf>
    <dxf>
      <fill>
        <patternFill patternType="solid">
          <fgColor rgb="FF98CE7F"/>
          <bgColor rgb="FF000000"/>
        </patternFill>
      </fill>
    </dxf>
    <dxf>
      <fill>
        <patternFill patternType="solid">
          <fgColor rgb="FF9ACE7F"/>
          <bgColor rgb="FF000000"/>
        </patternFill>
      </fill>
    </dxf>
    <dxf>
      <fill>
        <patternFill patternType="solid">
          <fgColor rgb="FFA8D27F"/>
          <bgColor rgb="FF000000"/>
        </patternFill>
      </fill>
    </dxf>
    <dxf>
      <fill>
        <patternFill patternType="solid">
          <fgColor rgb="FFB5D680"/>
          <bgColor rgb="FF000000"/>
        </patternFill>
      </fill>
    </dxf>
    <dxf>
      <fill>
        <patternFill patternType="solid">
          <fgColor rgb="FFBBD881"/>
          <bgColor rgb="FF000000"/>
        </patternFill>
      </fill>
    </dxf>
    <dxf>
      <fill>
        <patternFill patternType="solid">
          <fgColor rgb="FFCCDD82"/>
          <bgColor rgb="FF000000"/>
        </patternFill>
      </fill>
    </dxf>
    <dxf>
      <fill>
        <patternFill patternType="solid">
          <fgColor rgb="FFD6DF82"/>
          <bgColor rgb="FF000000"/>
        </patternFill>
      </fill>
    </dxf>
    <dxf>
      <fill>
        <patternFill patternType="solid">
          <fgColor rgb="FFDDE283"/>
          <bgColor rgb="FF000000"/>
        </patternFill>
      </fill>
    </dxf>
    <dxf>
      <fill>
        <patternFill patternType="solid">
          <fgColor rgb="FFE5E483"/>
          <bgColor rgb="FF000000"/>
        </patternFill>
      </fill>
    </dxf>
    <dxf>
      <fill>
        <patternFill patternType="solid">
          <fgColor rgb="FFE7E583"/>
          <bgColor rgb="FF000000"/>
        </patternFill>
      </fill>
    </dxf>
    <dxf>
      <fill>
        <patternFill patternType="solid">
          <fgColor rgb="FFF86F6C"/>
          <bgColor rgb="FF000000"/>
        </patternFill>
      </fill>
    </dxf>
    <dxf>
      <fill>
        <patternFill patternType="solid">
          <fgColor rgb="FFF8786E"/>
          <bgColor rgb="FF000000"/>
        </patternFill>
      </fill>
    </dxf>
    <dxf>
      <fill>
        <patternFill patternType="solid">
          <fgColor rgb="FFFA9F75"/>
          <bgColor rgb="FF000000"/>
        </patternFill>
      </fill>
    </dxf>
    <dxf>
      <fill>
        <patternFill patternType="solid">
          <fgColor rgb="FFFCB479"/>
          <bgColor rgb="FF000000"/>
        </patternFill>
      </fill>
    </dxf>
    <dxf>
      <fill>
        <patternFill patternType="solid">
          <fgColor rgb="FFFCB87A"/>
          <bgColor rgb="FF000000"/>
        </patternFill>
      </fill>
    </dxf>
    <dxf>
      <fill>
        <patternFill patternType="solid">
          <fgColor rgb="FFFCB97A"/>
          <bgColor rgb="FF000000"/>
        </patternFill>
      </fill>
    </dxf>
    <dxf>
      <fill>
        <patternFill patternType="solid">
          <fgColor rgb="FFFDC77D"/>
          <bgColor rgb="FF000000"/>
        </patternFill>
      </fill>
    </dxf>
    <dxf>
      <fill>
        <patternFill patternType="solid">
          <fgColor rgb="FFFDC97D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6EC17C"/>
          <bgColor rgb="FF000000"/>
        </patternFill>
      </fill>
    </dxf>
    <dxf>
      <fill>
        <patternFill patternType="solid">
          <fgColor rgb="FF83C77D"/>
          <bgColor rgb="FF000000"/>
        </patternFill>
      </fill>
    </dxf>
    <dxf>
      <fill>
        <patternFill patternType="solid">
          <fgColor rgb="FF97CD7E"/>
          <bgColor rgb="FF000000"/>
        </patternFill>
      </fill>
    </dxf>
    <dxf>
      <fill>
        <patternFill patternType="solid">
          <fgColor rgb="FFA4D17F"/>
          <bgColor rgb="FF000000"/>
        </patternFill>
      </fill>
    </dxf>
    <dxf>
      <fill>
        <patternFill patternType="solid">
          <fgColor rgb="FFAFD480"/>
          <bgColor rgb="FF000000"/>
        </patternFill>
      </fill>
    </dxf>
    <dxf>
      <fill>
        <patternFill patternType="solid">
          <fgColor rgb="FFB4D680"/>
          <bgColor rgb="FF000000"/>
        </patternFill>
      </fill>
    </dxf>
    <dxf>
      <fill>
        <patternFill patternType="solid">
          <fgColor rgb="FFB7D680"/>
          <bgColor rgb="FF000000"/>
        </patternFill>
      </fill>
    </dxf>
    <dxf>
      <fill>
        <patternFill patternType="solid">
          <fgColor rgb="FFB9D780"/>
          <bgColor rgb="FF000000"/>
        </patternFill>
      </fill>
    </dxf>
    <dxf>
      <fill>
        <patternFill patternType="solid">
          <fgColor rgb="FFC1D981"/>
          <bgColor rgb="FF000000"/>
        </patternFill>
      </fill>
    </dxf>
    <dxf>
      <fill>
        <patternFill patternType="solid">
          <fgColor rgb="FFD1DE82"/>
          <bgColor rgb="FF000000"/>
        </patternFill>
      </fill>
    </dxf>
    <dxf>
      <fill>
        <patternFill patternType="solid">
          <fgColor rgb="FFEBE583"/>
          <bgColor rgb="FF000000"/>
        </patternFill>
      </fill>
    </dxf>
    <dxf>
      <fill>
        <patternFill patternType="solid">
          <fgColor rgb="FFF2E884"/>
          <bgColor rgb="FF000000"/>
        </patternFill>
      </fill>
    </dxf>
    <dxf>
      <fill>
        <patternFill patternType="solid">
          <fgColor rgb="FFF5E884"/>
          <bgColor rgb="FF000000"/>
        </patternFill>
      </fill>
    </dxf>
    <dxf>
      <fill>
        <patternFill patternType="solid">
          <fgColor rgb="FFF86B6B"/>
          <bgColor rgb="FF000000"/>
        </patternFill>
      </fill>
    </dxf>
    <dxf>
      <fill>
        <patternFill patternType="solid">
          <fgColor rgb="FFF8786D"/>
          <bgColor rgb="FF000000"/>
        </patternFill>
      </fill>
    </dxf>
    <dxf>
      <fill>
        <patternFill patternType="solid">
          <fgColor rgb="FFF9806F"/>
          <bgColor rgb="FF000000"/>
        </patternFill>
      </fill>
    </dxf>
    <dxf>
      <fill>
        <patternFill patternType="solid">
          <fgColor rgb="FFFCC17C"/>
          <bgColor rgb="FF000000"/>
        </patternFill>
      </fill>
    </dxf>
    <dxf>
      <fill>
        <patternFill patternType="solid">
          <fgColor rgb="FFFDD17F"/>
          <bgColor rgb="FF000000"/>
        </patternFill>
      </fill>
    </dxf>
    <dxf>
      <fill>
        <patternFill patternType="solid">
          <fgColor rgb="FF6BC07B"/>
          <bgColor rgb="FF000000"/>
        </patternFill>
      </fill>
    </dxf>
    <dxf>
      <fill>
        <patternFill patternType="solid">
          <fgColor rgb="FF73C27B"/>
          <bgColor rgb="FF000000"/>
        </patternFill>
      </fill>
    </dxf>
    <dxf>
      <fill>
        <patternFill patternType="solid">
          <fgColor rgb="FF74C27B"/>
          <bgColor rgb="FF000000"/>
        </patternFill>
      </fill>
    </dxf>
    <dxf>
      <fill>
        <patternFill patternType="solid">
          <fgColor rgb="FF7AC47C"/>
          <bgColor rgb="FF000000"/>
        </patternFill>
      </fill>
    </dxf>
    <dxf>
      <fill>
        <patternFill patternType="solid">
          <fgColor rgb="FF86C87D"/>
          <bgColor rgb="FF000000"/>
        </patternFill>
      </fill>
    </dxf>
    <dxf>
      <fill>
        <patternFill patternType="solid">
          <fgColor rgb="FF89C87D"/>
          <bgColor rgb="FF000000"/>
        </patternFill>
      </fill>
    </dxf>
    <dxf>
      <fill>
        <patternFill patternType="solid">
          <fgColor rgb="FF8CCA7D"/>
          <bgColor rgb="FF000000"/>
        </patternFill>
      </fill>
    </dxf>
    <dxf>
      <fill>
        <patternFill patternType="solid">
          <fgColor rgb="FF8DCA7D"/>
          <bgColor rgb="FF000000"/>
        </patternFill>
      </fill>
    </dxf>
    <dxf>
      <fill>
        <patternFill patternType="solid">
          <fgColor rgb="FF91CB7D"/>
          <bgColor rgb="FF000000"/>
        </patternFill>
      </fill>
    </dxf>
    <dxf>
      <fill>
        <patternFill patternType="solid">
          <fgColor rgb="FF94CC7D"/>
          <bgColor rgb="FF000000"/>
        </patternFill>
      </fill>
    </dxf>
    <dxf>
      <fill>
        <patternFill patternType="solid">
          <fgColor rgb="FF98CD7E"/>
          <bgColor rgb="FF000000"/>
        </patternFill>
      </fill>
    </dxf>
    <dxf>
      <fill>
        <patternFill patternType="solid">
          <fgColor rgb="FF9CCE7E"/>
          <bgColor rgb="FF000000"/>
        </patternFill>
      </fill>
    </dxf>
    <dxf>
      <fill>
        <patternFill patternType="solid">
          <fgColor rgb="FF9DCE7E"/>
          <bgColor rgb="FF000000"/>
        </patternFill>
      </fill>
    </dxf>
    <dxf>
      <fill>
        <patternFill patternType="solid">
          <fgColor rgb="FFA2D07E"/>
          <bgColor rgb="FF000000"/>
        </patternFill>
      </fill>
    </dxf>
    <dxf>
      <fill>
        <patternFill patternType="solid">
          <fgColor rgb="FFA7D17E"/>
          <bgColor rgb="FF000000"/>
        </patternFill>
      </fill>
    </dxf>
    <dxf>
      <fill>
        <patternFill patternType="solid">
          <fgColor rgb="FFA8D17E"/>
          <bgColor rgb="FF000000"/>
        </patternFill>
      </fill>
    </dxf>
    <dxf>
      <fill>
        <patternFill patternType="solid">
          <fgColor rgb="FFAAD27F"/>
          <bgColor rgb="FF000000"/>
        </patternFill>
      </fill>
    </dxf>
    <dxf>
      <fill>
        <patternFill patternType="solid">
          <fgColor rgb="FFABD37F"/>
          <bgColor rgb="FF000000"/>
        </patternFill>
      </fill>
    </dxf>
    <dxf>
      <fill>
        <patternFill patternType="solid">
          <fgColor rgb="FFADD37F"/>
          <bgColor rgb="FF000000"/>
        </patternFill>
      </fill>
    </dxf>
    <dxf>
      <fill>
        <patternFill patternType="solid">
          <fgColor rgb="FFAFD47F"/>
          <bgColor rgb="FF000000"/>
        </patternFill>
      </fill>
    </dxf>
    <dxf>
      <fill>
        <patternFill patternType="solid">
          <fgColor rgb="FFB1D47F"/>
          <bgColor rgb="FF000000"/>
        </patternFill>
      </fill>
    </dxf>
    <dxf>
      <fill>
        <patternFill patternType="solid">
          <fgColor rgb="FFB5D57F"/>
          <bgColor rgb="FF000000"/>
        </patternFill>
      </fill>
    </dxf>
    <dxf>
      <fill>
        <patternFill patternType="solid">
          <fgColor rgb="FFB6D67F"/>
          <bgColor rgb="FF000000"/>
        </patternFill>
      </fill>
    </dxf>
    <dxf>
      <fill>
        <patternFill patternType="solid">
          <fgColor rgb="FFB7D67F"/>
          <bgColor rgb="FF000000"/>
        </patternFill>
      </fill>
    </dxf>
    <dxf>
      <fill>
        <patternFill patternType="solid">
          <fgColor rgb="FFB8D67F"/>
          <bgColor rgb="FF000000"/>
        </patternFill>
      </fill>
    </dxf>
    <dxf>
      <fill>
        <patternFill patternType="solid">
          <fgColor rgb="FFBDD880"/>
          <bgColor rgb="FF000000"/>
        </patternFill>
      </fill>
    </dxf>
    <dxf>
      <fill>
        <patternFill patternType="solid">
          <fgColor rgb="FFBED880"/>
          <bgColor rgb="FF000000"/>
        </patternFill>
      </fill>
    </dxf>
    <dxf>
      <fill>
        <patternFill patternType="solid">
          <fgColor rgb="FFC1D980"/>
          <bgColor rgb="FF000000"/>
        </patternFill>
      </fill>
    </dxf>
    <dxf>
      <fill>
        <patternFill patternType="solid">
          <fgColor rgb="FFC3D980"/>
          <bgColor rgb="FF000000"/>
        </patternFill>
      </fill>
    </dxf>
    <dxf>
      <fill>
        <patternFill patternType="solid">
          <fgColor rgb="FFC4DA80"/>
          <bgColor rgb="FF000000"/>
        </patternFill>
      </fill>
    </dxf>
    <dxf>
      <fill>
        <patternFill patternType="solid">
          <fgColor rgb="FFC9DB80"/>
          <bgColor rgb="FF000000"/>
        </patternFill>
      </fill>
    </dxf>
    <dxf>
      <fill>
        <patternFill patternType="solid">
          <fgColor rgb="FFD7DF81"/>
          <bgColor rgb="FF000000"/>
        </patternFill>
      </fill>
    </dxf>
    <dxf>
      <fill>
        <patternFill patternType="solid">
          <fgColor rgb="FFDAE081"/>
          <bgColor rgb="FF000000"/>
        </patternFill>
      </fill>
    </dxf>
    <dxf>
      <fill>
        <patternFill patternType="solid">
          <fgColor rgb="FFDCE081"/>
          <bgColor rgb="FF000000"/>
        </patternFill>
      </fill>
    </dxf>
    <dxf>
      <fill>
        <patternFill patternType="solid">
          <fgColor rgb="FFE0E282"/>
          <bgColor rgb="FF000000"/>
        </patternFill>
      </fill>
    </dxf>
    <dxf>
      <fill>
        <patternFill patternType="solid">
          <fgColor rgb="FFE2E282"/>
          <bgColor rgb="FF000000"/>
        </patternFill>
      </fill>
    </dxf>
    <dxf>
      <fill>
        <patternFill patternType="solid">
          <fgColor rgb="FFE3E382"/>
          <bgColor rgb="FF000000"/>
        </patternFill>
      </fill>
    </dxf>
    <dxf>
      <fill>
        <patternFill patternType="solid">
          <fgColor rgb="FFEBE582"/>
          <bgColor rgb="FF000000"/>
        </patternFill>
      </fill>
    </dxf>
    <dxf>
      <fill>
        <patternFill patternType="solid">
          <fgColor rgb="FFECE582"/>
          <bgColor rgb="FF000000"/>
        </patternFill>
      </fill>
    </dxf>
    <dxf>
      <fill>
        <patternFill patternType="solid">
          <fgColor rgb="FFEFE683"/>
          <bgColor rgb="FF000000"/>
        </patternFill>
      </fill>
    </dxf>
    <dxf>
      <fill>
        <patternFill patternType="solid">
          <fgColor rgb="FFF1E783"/>
          <bgColor rgb="FF000000"/>
        </patternFill>
      </fill>
    </dxf>
    <dxf>
      <fill>
        <patternFill patternType="solid">
          <fgColor rgb="FFF2E783"/>
          <bgColor rgb="FF000000"/>
        </patternFill>
      </fill>
    </dxf>
    <dxf>
      <fill>
        <patternFill patternType="solid">
          <fgColor rgb="FFF4E783"/>
          <bgColor rgb="FF000000"/>
        </patternFill>
      </fill>
    </dxf>
    <dxf>
      <fill>
        <patternFill patternType="solid">
          <fgColor rgb="FFF5E883"/>
          <bgColor rgb="FF000000"/>
        </patternFill>
      </fill>
    </dxf>
    <dxf>
      <fill>
        <patternFill patternType="solid">
          <fgColor rgb="FFF6E883"/>
          <bgColor rgb="FF000000"/>
        </patternFill>
      </fill>
    </dxf>
    <dxf>
      <fill>
        <patternFill patternType="solid">
          <fgColor rgb="FFF8E883"/>
          <bgColor rgb="FF000000"/>
        </patternFill>
      </fill>
    </dxf>
    <dxf>
      <fill>
        <patternFill patternType="solid">
          <fgColor rgb="FFF9756E"/>
          <bgColor rgb="FF000000"/>
        </patternFill>
      </fill>
    </dxf>
    <dxf>
      <fill>
        <patternFill patternType="solid">
          <fgColor rgb="FFFB9073"/>
          <bgColor rgb="FF000000"/>
        </patternFill>
      </fill>
    </dxf>
    <dxf>
      <fill>
        <patternFill patternType="solid">
          <fgColor rgb="FFFB9474"/>
          <bgColor rgb="FF000000"/>
        </patternFill>
      </fill>
    </dxf>
    <dxf>
      <fill>
        <patternFill patternType="solid">
          <fgColor rgb="FFFCAF79"/>
          <bgColor rgb="FF000000"/>
        </patternFill>
      </fill>
    </dxf>
    <dxf>
      <fill>
        <patternFill patternType="solid">
          <fgColor rgb="FFFCB179"/>
          <bgColor rgb="FF000000"/>
        </patternFill>
      </fill>
    </dxf>
    <dxf>
      <fill>
        <patternFill patternType="solid">
          <fgColor rgb="FFFDB97B"/>
          <bgColor rgb="FF000000"/>
        </patternFill>
      </fill>
    </dxf>
    <dxf>
      <fill>
        <patternFill patternType="solid">
          <fgColor rgb="FFFDBA7B"/>
          <bgColor rgb="FF000000"/>
        </patternFill>
      </fill>
    </dxf>
    <dxf>
      <fill>
        <patternFill patternType="solid">
          <fgColor rgb="FFFDBD7C"/>
          <bgColor rgb="FF000000"/>
        </patternFill>
      </fill>
    </dxf>
    <dxf>
      <fill>
        <patternFill patternType="solid">
          <fgColor rgb="FFFDBE7C"/>
          <bgColor rgb="FF000000"/>
        </patternFill>
      </fill>
    </dxf>
    <dxf>
      <fill>
        <patternFill patternType="solid">
          <fgColor rgb="FFFDC07C"/>
          <bgColor rgb="FF000000"/>
        </patternFill>
      </fill>
    </dxf>
    <dxf>
      <fill>
        <patternFill patternType="solid">
          <fgColor rgb="FFFDC17C"/>
          <bgColor rgb="FF000000"/>
        </patternFill>
      </fill>
    </dxf>
    <dxf>
      <fill>
        <patternFill patternType="solid">
          <fgColor rgb="FFFDC57D"/>
          <bgColor rgb="FF000000"/>
        </patternFill>
      </fill>
    </dxf>
    <dxf>
      <fill>
        <patternFill patternType="solid">
          <fgColor rgb="FFFDC67D"/>
          <bgColor rgb="FF000000"/>
        </patternFill>
      </fill>
    </dxf>
    <dxf>
      <fill>
        <patternFill patternType="solid">
          <fgColor rgb="FFFECA7E"/>
          <bgColor rgb="FF000000"/>
        </patternFill>
      </fill>
    </dxf>
    <dxf>
      <fill>
        <patternFill patternType="solid">
          <fgColor rgb="FFFECD7F"/>
          <bgColor rgb="FF000000"/>
        </patternFill>
      </fill>
    </dxf>
    <dxf>
      <fill>
        <patternFill patternType="solid">
          <fgColor rgb="FFFECE7F"/>
          <bgColor rgb="FF000000"/>
        </patternFill>
      </fill>
    </dxf>
    <dxf>
      <fill>
        <patternFill patternType="solid">
          <fgColor rgb="FFFED07F"/>
          <bgColor rgb="FF000000"/>
        </patternFill>
      </fill>
    </dxf>
    <dxf>
      <fill>
        <patternFill patternType="solid">
          <fgColor rgb="FFFED17F"/>
          <bgColor rgb="FF000000"/>
        </patternFill>
      </fill>
    </dxf>
    <dxf>
      <fill>
        <patternFill patternType="solid">
          <fgColor rgb="FFFED280"/>
          <bgColor rgb="FF000000"/>
        </patternFill>
      </fill>
    </dxf>
    <dxf>
      <fill>
        <patternFill patternType="solid">
          <fgColor rgb="FFFED380"/>
          <bgColor rgb="FF000000"/>
        </patternFill>
      </fill>
    </dxf>
    <dxf>
      <fill>
        <patternFill patternType="solid">
          <fgColor rgb="FFFED680"/>
          <bgColor rgb="FF000000"/>
        </patternFill>
      </fill>
    </dxf>
    <dxf>
      <fill>
        <patternFill patternType="solid">
          <fgColor rgb="FFFED781"/>
          <bgColor rgb="FF000000"/>
        </patternFill>
      </fill>
    </dxf>
    <dxf>
      <fill>
        <patternFill patternType="solid">
          <fgColor rgb="FFFED881"/>
          <bgColor rgb="FF000000"/>
        </patternFill>
      </fill>
    </dxf>
    <dxf>
      <fill>
        <patternFill patternType="solid">
          <fgColor rgb="FFFFD981"/>
          <bgColor rgb="FF000000"/>
        </patternFill>
      </fill>
    </dxf>
    <dxf>
      <fill>
        <patternFill patternType="solid">
          <fgColor rgb="FFFFDA81"/>
          <bgColor rgb="FF000000"/>
        </patternFill>
      </fill>
    </dxf>
    <dxf>
      <fill>
        <patternFill patternType="solid">
          <fgColor rgb="FFFFDB81"/>
          <bgColor rgb="FF000000"/>
        </patternFill>
      </fill>
    </dxf>
    <dxf>
      <fill>
        <patternFill patternType="solid">
          <fgColor rgb="FFFFDD82"/>
          <bgColor rgb="FF000000"/>
        </patternFill>
      </fill>
    </dxf>
    <dxf>
      <fill>
        <patternFill patternType="solid">
          <fgColor rgb="FFFFDE82"/>
          <bgColor rgb="FF000000"/>
        </patternFill>
      </fill>
    </dxf>
    <dxf>
      <fill>
        <patternFill patternType="solid">
          <fgColor rgb="FFFFE082"/>
          <bgColor rgb="FF000000"/>
        </patternFill>
      </fill>
    </dxf>
    <dxf>
      <fill>
        <patternFill patternType="solid">
          <fgColor rgb="FFFFE182"/>
          <bgColor rgb="FF000000"/>
        </patternFill>
      </fill>
    </dxf>
    <dxf>
      <fill>
        <patternFill patternType="solid">
          <fgColor rgb="FFFFE283"/>
          <bgColor rgb="FF000000"/>
        </patternFill>
      </fill>
    </dxf>
    <dxf>
      <fill>
        <patternFill patternType="solid">
          <fgColor rgb="FFFFE383"/>
          <bgColor rgb="FF000000"/>
        </patternFill>
      </fill>
    </dxf>
    <dxf>
      <fill>
        <patternFill patternType="solid">
          <fgColor rgb="FFFFE583"/>
          <bgColor rgb="FF000000"/>
        </patternFill>
      </fill>
    </dxf>
    <dxf>
      <fill>
        <patternFill patternType="solid">
          <fgColor rgb="FFFFE683"/>
          <bgColor rgb="FF000000"/>
        </patternFill>
      </fill>
    </dxf>
    <dxf>
      <fill>
        <patternFill patternType="solid">
          <fgColor rgb="FFFFE784"/>
          <bgColor rgb="FF000000"/>
        </patternFill>
      </fill>
    </dxf>
    <dxf>
      <fill>
        <patternFill patternType="solid">
          <fgColor rgb="FFFFE884"/>
          <bgColor rgb="FF000000"/>
        </patternFill>
      </fill>
    </dxf>
    <dxf>
      <fill>
        <patternFill patternType="solid">
          <fgColor rgb="FFFFE984"/>
          <bgColor rgb="FF000000"/>
        </patternFill>
      </fill>
    </dxf>
    <dxf>
      <fill>
        <patternFill patternType="solid">
          <fgColor rgb="FFFFEA8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C95"/>
      <rgbColor rgb="FFC0C0C0"/>
      <rgbColor rgb="FF808080"/>
      <rgbColor rgb="FF5B9BD5"/>
      <rgbColor rgb="FF7030A0"/>
      <rgbColor rgb="FFF2F2F2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65911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RatingsMaster" displayName="RatingsMaster" ref="A4:BL125" headerRowCount="1" totalsRowCount="0" totalsRowShown="0">
  <autoFilter ref="A4:BL125"/>
  <tableColumns count="64">
    <tableColumn id="1" name="Conference"/>
    <tableColumn id="2" name="Team"/>
    <tableColumn id="3" name="Short"/>
    <tableColumn id="4" name="Master Team ID"/>
    <tableColumn id="5" name="Schedule ID"/>
    <tableColumn id="6" name="TrueSkill 2026 Preseason μ"/>
    <tableColumn id="7" name="TrueSkill Rank"/>
    <tableColumn id="8" name="TrueSkill σ"/>
    <tableColumn id="9" name="TrueSkill μ−3σ"/>
    <tableColumn id="10" name="TrueSkill Carryover Status"/>
    <tableColumn id="11" name="TrueSkill Prior Method"/>
    <tableColumn id="12" name="Litkenhous Adjusted Power"/>
    <tableColumn id="13" name="Litkenhous Adjusted Rating"/>
    <tableColumn id="14" name="Litkenhous Adjusted Rank"/>
    <tableColumn id="15" name="Litkenhous Offseason Composite"/>
    <tableColumn id="16" name="Litkenhous Offseason Adjustment"/>
    <tableColumn id="17" name="Litkenhous Evidence Status"/>
    <tableColumn id="18" name="Reconciliation"/>
    <tableColumn id="19" name="Board I-H Power Rating (power_H)"/>
    <tableColumn id="20" name="Board I-H Power Rank (rank_H)"/>
    <tableColumn id="21" name="Board I-H Committee Rating (committee_H)"/>
    <tableColumn id="22" name="Board I-H Committee Rank (rank_I)"/>
    <tableColumn id="23" name="Board J-B Run2 Power Rating (power_Run2)"/>
    <tableColumn id="24" name="Board J-B Run2 Power Rank (rank_Run2)"/>
    <tableColumn id="25" name="Board J-B Run2 Committee Rating (committee_Run2)"/>
    <tableColumn id="26" name="Board J-B Run2 Committee Rank (rank_I)"/>
    <tableColumn id="27" name="Board J-B Baseline"/>
    <tableColumn id="28" name="Board J-B Returning"/>
    <tableColumn id="29" name="Board J-B Movement"/>
    <tableColumn id="30" name="Board J-B Talent"/>
    <tableColumn id="31" name="Board J-B Coaching"/>
    <tableColumn id="32" name="Board J-B Market"/>
    <tableColumn id="33" name="Board J-B 247 Points"/>
    <tableColumn id="34" name="Board J-B Rank Shift"/>
    <tableColumn id="35" name="Board J-B Source Status"/>
    <tableColumn id="36" name="Board J-A Expected Wins"/>
    <tableColumn id="37" name="Board J-B Expected Wins"/>
    <tableColumn id="38" name="Board J-C Expected Wins"/>
    <tableColumn id="39" name="2025 Baxter Ridge Rating"/>
    <tableColumn id="40" name="2025 Baxter Rank"/>
    <tableColumn id="41" name="2025 Baxter Games"/>
    <tableColumn id="42" name="Baxter Carryforward Status"/>
    <tableColumn id="43" name="2026 Pure Baxter Rating"/>
    <tableColumn id="44" name="2026 Pure Baxter Rank"/>
    <tableColumn id="45" name="Baxter Offseason Adjustment"/>
    <tableColumn id="46" name="2026 Enhanced Baxter Rating"/>
    <tableColumn id="47" name="2026 Enhanced Baxter Rank"/>
    <tableColumn id="48" name="SP+ Rating"/>
    <tableColumn id="49" name="SP+ Build Status"/>
    <tableColumn id="50" name="SP+ Blocking Evidence"/>
    <tableColumn id="51" name="Billingsley Seed Power"/>
    <tableColumn id="52" name="Billingsley Seed Rating"/>
    <tableColumn id="53" name="Billingsley Seed Rank"/>
    <tableColumn id="54" name="Billingsley Uncertainty"/>
    <tableColumn id="55" name="Billingsley Active Rating"/>
    <tableColumn id="56" name="Billingsley Active Rank"/>
    <tableColumn id="57" name="Billingsley Build Status"/>
    <tableColumn id="58" name="Markov Schedule PageRank"/>
    <tableColumn id="59" name="Markov Topology Rank"/>
    <tableColumn id="60" name="Markov Scheduled Games"/>
    <tableColumn id="61" name="Markov Unique In-Field Opponents"/>
    <tableColumn id="62" name="Markov Out-of-Field Games"/>
    <tableColumn id="63" name="Markov Performance Rating"/>
    <tableColumn id="64" name="Markov Build 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Z1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4"/>
    <col collapsed="false" customWidth="true" hidden="false" outlineLevel="0" max="3" min="3" style="1" width="9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18"/>
    <col collapsed="false" customWidth="true" hidden="false" outlineLevel="0" max="7" min="7" style="1" width="13"/>
    <col collapsed="false" customWidth="true" hidden="false" outlineLevel="0" max="8" min="8" style="1" width="12"/>
    <col collapsed="false" customWidth="true" hidden="false" outlineLevel="0" max="9" min="9" style="1" width="15"/>
    <col collapsed="false" customWidth="true" hidden="false" outlineLevel="0" max="10" min="10" style="1" width="26"/>
    <col collapsed="false" customWidth="true" hidden="false" outlineLevel="0" max="11" min="11" style="1" width="30"/>
    <col collapsed="false" customWidth="true" hidden="false" outlineLevel="0" max="13" min="12" style="1" width="19"/>
    <col collapsed="false" customWidth="true" hidden="false" outlineLevel="0" max="14" min="14" style="1" width="17"/>
    <col collapsed="false" customWidth="true" hidden="false" outlineLevel="0" max="15" min="15" style="1" width="20"/>
    <col collapsed="false" customWidth="true" hidden="false" outlineLevel="0" max="16" min="16" style="1" width="21"/>
    <col collapsed="false" customWidth="true" hidden="false" outlineLevel="0" max="17" min="17" style="1" width="24"/>
    <col collapsed="false" customWidth="true" hidden="false" outlineLevel="0" max="18" min="18" style="1" width="15"/>
    <col collapsed="false" customWidth="true" hidden="false" outlineLevel="0" max="19" min="19" style="1" width="25"/>
    <col collapsed="false" customWidth="true" hidden="false" outlineLevel="0" max="20" min="20" style="1" width="22"/>
    <col collapsed="false" customWidth="true" hidden="false" outlineLevel="0" max="21" min="21" style="1" width="29"/>
    <col collapsed="false" customWidth="true" hidden="false" outlineLevel="0" max="22" min="22" style="1" width="26"/>
    <col collapsed="false" customWidth="true" hidden="false" outlineLevel="0" max="23" min="23" style="1" width="18"/>
    <col collapsed="false" customWidth="true" hidden="false" outlineLevel="0" max="24" min="24" style="1" width="12"/>
    <col collapsed="false" customWidth="true" hidden="false" outlineLevel="0" max="25" min="25" style="1" width="20"/>
    <col collapsed="false" customWidth="true" hidden="false" outlineLevel="0" max="29" min="26" style="1" width="14"/>
    <col collapsed="false" customWidth="true" hidden="false" outlineLevel="0" max="32" min="30" style="1" width="12"/>
    <col collapsed="false" customWidth="true" hidden="false" outlineLevel="0" max="33" min="33" style="1" width="14"/>
    <col collapsed="false" customWidth="true" hidden="false" outlineLevel="0" max="34" min="34" style="1" width="12"/>
    <col collapsed="false" customWidth="true" hidden="false" outlineLevel="0" max="35" min="35" style="1" width="36"/>
    <col collapsed="false" customWidth="true" hidden="false" outlineLevel="0" max="39" min="39" style="1" width="18"/>
    <col collapsed="false" customWidth="true" hidden="false" outlineLevel="0" max="40" min="40" style="1" width="16"/>
    <col collapsed="false" customWidth="true" hidden="false" outlineLevel="0" max="41" min="41" style="1" width="14"/>
    <col collapsed="false" customWidth="true" hidden="false" outlineLevel="0" max="42" min="42" style="1" width="28"/>
    <col collapsed="false" customWidth="true" hidden="false" outlineLevel="0" max="43" min="43" style="1" width="18"/>
    <col collapsed="false" customWidth="true" hidden="false" outlineLevel="0" max="47" min="44" style="1" width="16"/>
    <col collapsed="false" customWidth="true" hidden="false" outlineLevel="0" max="48" min="48" style="1" width="14"/>
    <col collapsed="false" customWidth="true" hidden="false" outlineLevel="0" max="49" min="49" style="1" width="18"/>
    <col collapsed="false" customWidth="true" hidden="false" outlineLevel="0" max="50" min="50" style="1" width="42"/>
    <col collapsed="false" customWidth="true" hidden="false" outlineLevel="0" max="51" min="51" style="1" width="22"/>
    <col collapsed="false" customWidth="true" hidden="false" outlineLevel="0" max="52" min="52" style="1" width="23"/>
    <col collapsed="false" customWidth="true" hidden="false" outlineLevel="0" max="53" min="53" style="1" width="20"/>
    <col collapsed="false" customWidth="true" hidden="false" outlineLevel="0" max="54" min="54" style="1" width="22"/>
    <col collapsed="false" customWidth="true" hidden="false" outlineLevel="0" max="55" min="55" style="1" width="24"/>
    <col collapsed="false" customWidth="true" hidden="false" outlineLevel="0" max="56" min="56" style="1" width="20"/>
    <col collapsed="false" customWidth="true" hidden="false" outlineLevel="0" max="58" min="57" style="1" width="24"/>
    <col collapsed="false" customWidth="true" hidden="false" outlineLevel="0" max="59" min="59" style="1" width="20"/>
    <col collapsed="false" customWidth="true" hidden="false" outlineLevel="0" max="60" min="60" style="1" width="22"/>
    <col collapsed="false" customWidth="true" hidden="false" outlineLevel="0" max="61" min="61" style="1" width="30"/>
    <col collapsed="false" customWidth="true" hidden="false" outlineLevel="0" max="63" min="62" style="1" width="24"/>
    <col collapsed="false" customWidth="true" hidden="false" outlineLevel="0" max="64" min="64" style="1" width="26"/>
    <col collapsed="false" customWidth="true" hidden="false" outlineLevel="0" max="65" min="65" style="1" width="13"/>
    <col collapsed="false" customWidth="true" hidden="false" outlineLevel="0" max="66" min="66" style="1" width="14"/>
    <col collapsed="false" customWidth="true" hidden="false" outlineLevel="0" max="68" min="67" style="1" width="13"/>
    <col collapsed="false" customWidth="true" hidden="false" outlineLevel="0" max="69" min="69" style="1" width="15"/>
    <col collapsed="false" customWidth="true" hidden="false" outlineLevel="0" max="70" min="70" style="1" width="14"/>
    <col collapsed="false" customWidth="true" hidden="false" outlineLevel="0" max="71" min="71" style="1" width="16"/>
    <col collapsed="false" customWidth="true" hidden="false" outlineLevel="0" max="72" min="72" style="1" width="23"/>
    <col collapsed="false" customWidth="true" hidden="false" outlineLevel="0" max="73" min="73" style="1" width="25"/>
    <col collapsed="false" customWidth="true" hidden="false" outlineLevel="0" max="74" min="74" style="1" width="19"/>
    <col collapsed="false" customWidth="true" hidden="false" outlineLevel="0" max="75" min="75" style="1" width="18"/>
    <col collapsed="false" customWidth="true" hidden="false" outlineLevel="0" max="76" min="76" style="1" width="17"/>
    <col collapsed="false" customWidth="true" hidden="false" outlineLevel="0" max="77" min="77" style="1" width="30"/>
    <col collapsed="false" customWidth="true" hidden="false" outlineLevel="0" max="78" min="78" style="1" width="20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 customFormat="false" ht="15" hidden="false" customHeight="true" outlineLevel="0" collapsed="false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</row>
    <row r="4" customFormat="false" ht="42" hidden="false" customHeight="true" outlineLevel="0" collapsed="false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  <c r="O4" s="6" t="s">
        <v>16</v>
      </c>
      <c r="P4" s="6" t="s">
        <v>17</v>
      </c>
      <c r="Q4" s="6" t="s">
        <v>18</v>
      </c>
      <c r="R4" s="6" t="s">
        <v>19</v>
      </c>
      <c r="S4" s="6" t="s">
        <v>20</v>
      </c>
      <c r="T4" s="6" t="s">
        <v>21</v>
      </c>
      <c r="U4" s="6" t="s">
        <v>22</v>
      </c>
      <c r="V4" s="6" t="s">
        <v>23</v>
      </c>
      <c r="W4" s="6" t="s">
        <v>24</v>
      </c>
      <c r="X4" s="6" t="s">
        <v>25</v>
      </c>
      <c r="Y4" s="6" t="s">
        <v>26</v>
      </c>
      <c r="Z4" s="6" t="s">
        <v>27</v>
      </c>
      <c r="AA4" s="6" t="s">
        <v>28</v>
      </c>
      <c r="AB4" s="6" t="s">
        <v>29</v>
      </c>
      <c r="AC4" s="6" t="s">
        <v>30</v>
      </c>
      <c r="AD4" s="6" t="s">
        <v>31</v>
      </c>
      <c r="AE4" s="6" t="s">
        <v>32</v>
      </c>
      <c r="AF4" s="6" t="s">
        <v>33</v>
      </c>
      <c r="AG4" s="6" t="s">
        <v>34</v>
      </c>
      <c r="AH4" s="6" t="s">
        <v>35</v>
      </c>
      <c r="AI4" s="6" t="s">
        <v>36</v>
      </c>
      <c r="AJ4" s="6" t="s">
        <v>37</v>
      </c>
      <c r="AK4" s="6" t="s">
        <v>38</v>
      </c>
      <c r="AL4" s="6" t="s">
        <v>39</v>
      </c>
      <c r="AM4" s="6" t="s">
        <v>40</v>
      </c>
      <c r="AN4" s="6" t="s">
        <v>41</v>
      </c>
      <c r="AO4" s="6" t="s">
        <v>42</v>
      </c>
      <c r="AP4" s="6" t="s">
        <v>43</v>
      </c>
      <c r="AQ4" s="6" t="s">
        <v>44</v>
      </c>
      <c r="AR4" s="6" t="s">
        <v>45</v>
      </c>
      <c r="AS4" s="6" t="s">
        <v>46</v>
      </c>
      <c r="AT4" s="6" t="s">
        <v>47</v>
      </c>
      <c r="AU4" s="6" t="s">
        <v>48</v>
      </c>
      <c r="AV4" s="6" t="s">
        <v>49</v>
      </c>
      <c r="AW4" s="6" t="s">
        <v>50</v>
      </c>
      <c r="AX4" s="6" t="s">
        <v>51</v>
      </c>
      <c r="AY4" s="6" t="s">
        <v>52</v>
      </c>
      <c r="AZ4" s="6" t="s">
        <v>53</v>
      </c>
      <c r="BA4" s="6" t="s">
        <v>54</v>
      </c>
      <c r="BB4" s="6" t="s">
        <v>55</v>
      </c>
      <c r="BC4" s="6" t="s">
        <v>56</v>
      </c>
      <c r="BD4" s="6" t="s">
        <v>57</v>
      </c>
      <c r="BE4" s="6" t="s">
        <v>58</v>
      </c>
      <c r="BF4" s="6" t="s">
        <v>59</v>
      </c>
      <c r="BG4" s="6" t="s">
        <v>60</v>
      </c>
      <c r="BH4" s="6" t="s">
        <v>61</v>
      </c>
      <c r="BI4" s="6" t="s">
        <v>62</v>
      </c>
      <c r="BJ4" s="6" t="s">
        <v>63</v>
      </c>
      <c r="BK4" s="6" t="s">
        <v>64</v>
      </c>
      <c r="BL4" s="6" t="s">
        <v>65</v>
      </c>
      <c r="BM4" s="6" t="s">
        <v>66</v>
      </c>
      <c r="BN4" s="6" t="s">
        <v>67</v>
      </c>
      <c r="BO4" s="6" t="s">
        <v>68</v>
      </c>
      <c r="BP4" s="6" t="s">
        <v>69</v>
      </c>
      <c r="BQ4" s="6" t="s">
        <v>70</v>
      </c>
      <c r="BR4" s="6" t="s">
        <v>71</v>
      </c>
      <c r="BS4" s="6" t="s">
        <v>72</v>
      </c>
      <c r="BT4" s="6" t="s">
        <v>73</v>
      </c>
      <c r="BU4" s="6" t="s">
        <v>74</v>
      </c>
      <c r="BV4" s="6" t="s">
        <v>75</v>
      </c>
      <c r="BW4" s="6" t="s">
        <v>76</v>
      </c>
      <c r="BX4" s="6" t="s">
        <v>77</v>
      </c>
      <c r="BY4" s="6" t="s">
        <v>78</v>
      </c>
      <c r="BZ4" s="6" t="s">
        <v>79</v>
      </c>
    </row>
    <row r="5" customFormat="false" ht="15" hidden="false" customHeight="true" outlineLevel="0" collapsed="false">
      <c r="A5" s="7" t="s">
        <v>80</v>
      </c>
      <c r="B5" s="7" t="s">
        <v>81</v>
      </c>
      <c r="C5" s="7" t="s">
        <v>82</v>
      </c>
      <c r="D5" s="7" t="n">
        <v>51</v>
      </c>
      <c r="E5" s="7" t="s">
        <v>82</v>
      </c>
      <c r="F5" s="8" t="n">
        <v>21.00295583</v>
      </c>
      <c r="G5" s="9" t="n">
        <v>106</v>
      </c>
      <c r="H5" s="8" t="n">
        <v>4.27857739017567</v>
      </c>
      <c r="I5" s="8" t="n">
        <v>8.16722365947299</v>
      </c>
      <c r="J5" s="7" t="s">
        <v>83</v>
      </c>
      <c r="K5" s="7" t="s">
        <v>84</v>
      </c>
      <c r="L5" s="8" t="n">
        <v>-4.20895357722853</v>
      </c>
      <c r="M5" s="8" t="n">
        <v>95.7910464227715</v>
      </c>
      <c r="N5" s="9" t="n">
        <v>78</v>
      </c>
      <c r="O5" s="8" t="n">
        <v>0.576695238095238</v>
      </c>
      <c r="P5" s="8" t="n">
        <v>1.22712380952381</v>
      </c>
      <c r="Q5" s="7" t="s">
        <v>85</v>
      </c>
      <c r="R5" s="1" t="s">
        <v>86</v>
      </c>
      <c r="S5" s="10" t="n">
        <v>0.417909</v>
      </c>
      <c r="T5" s="11" t="n">
        <v>81</v>
      </c>
      <c r="U5" s="10" t="n">
        <v>0.402752</v>
      </c>
      <c r="V5" s="11" t="n">
        <v>75</v>
      </c>
      <c r="W5" s="10" t="n">
        <v>0.44355</v>
      </c>
      <c r="X5" s="11" t="n">
        <v>77</v>
      </c>
      <c r="Y5" s="10" t="n">
        <v>0.42611442265</v>
      </c>
      <c r="Z5" s="11" t="n">
        <v>75</v>
      </c>
      <c r="AA5" s="10" t="n">
        <v>0.2095</v>
      </c>
      <c r="AB5" s="10" t="n">
        <v>0.586</v>
      </c>
      <c r="AC5" s="10" t="n">
        <v>0.4621</v>
      </c>
      <c r="AD5" s="10" t="n">
        <v>0.525</v>
      </c>
      <c r="AE5" s="10" t="n">
        <v>0.85</v>
      </c>
      <c r="AF5" s="10" t="n">
        <v>0.2474</v>
      </c>
      <c r="AG5" s="12" t="n">
        <v>14.38</v>
      </c>
      <c r="AH5" s="11" t="n">
        <v>-5</v>
      </c>
      <c r="AI5" s="1" t="s">
        <v>87</v>
      </c>
      <c r="AJ5" s="12" t="n">
        <v>3.91</v>
      </c>
      <c r="AK5" s="12" t="n">
        <v>4.16</v>
      </c>
      <c r="AL5" s="12" t="n">
        <v>5.02</v>
      </c>
      <c r="AM5" s="13" t="n">
        <v>-10.830666182982</v>
      </c>
      <c r="AN5" s="11" t="n">
        <v>77</v>
      </c>
      <c r="AO5" s="11" t="n">
        <v>12</v>
      </c>
      <c r="AP5" s="14" t="s">
        <v>88</v>
      </c>
      <c r="AQ5" s="13" t="n">
        <v>-7.5814663280874</v>
      </c>
      <c r="AR5" s="11" t="n">
        <v>79</v>
      </c>
      <c r="AS5" s="13" t="n">
        <v>0.99058335137078</v>
      </c>
      <c r="AT5" s="13" t="n">
        <v>-6.59088297671662</v>
      </c>
      <c r="AU5" s="11" t="n">
        <v>72</v>
      </c>
      <c r="AV5" s="10"/>
      <c r="AW5" s="14" t="s">
        <v>89</v>
      </c>
      <c r="AX5" s="14" t="s">
        <v>90</v>
      </c>
      <c r="AY5" s="10" t="n">
        <v>-6.28749903177398</v>
      </c>
      <c r="AZ5" s="10" t="n">
        <v>93.712500968226</v>
      </c>
      <c r="BA5" s="11" t="n">
        <v>83</v>
      </c>
      <c r="BB5" s="14" t="s">
        <v>91</v>
      </c>
      <c r="BC5" s="10"/>
      <c r="BD5" s="11"/>
      <c r="BE5" s="14" t="s">
        <v>92</v>
      </c>
      <c r="BF5" s="10" t="n">
        <v>0.00828130640909536</v>
      </c>
      <c r="BG5" s="11" t="n">
        <v>73</v>
      </c>
      <c r="BH5" s="11" t="n">
        <v>12</v>
      </c>
      <c r="BI5" s="11" t="n">
        <v>12</v>
      </c>
      <c r="BJ5" s="11" t="n">
        <v>0</v>
      </c>
      <c r="BK5" s="10"/>
      <c r="BL5" s="14" t="s">
        <v>93</v>
      </c>
      <c r="BM5" s="15" t="n">
        <f aca="false">(F5-'Ensemble Parameters'!$B$20)/'Ensemble Parameters'!$C$20</f>
        <v>-0.951179750231879</v>
      </c>
      <c r="BN5" s="15" t="n">
        <f aca="false">(L5-'Ensemble Parameters'!$B$21)/'Ensemble Parameters'!$C$21</f>
        <v>-0.441186467755805</v>
      </c>
      <c r="BO5" s="15" t="n">
        <f aca="false">(S5-'Ensemble Parameters'!$B$22)/'Ensemble Parameters'!$C$22</f>
        <v>-0.418536056291888</v>
      </c>
      <c r="BP5" s="15" t="n">
        <f aca="false">(W5-'Ensemble Parameters'!$B$23)/'Ensemble Parameters'!$C$23</f>
        <v>-0.352774582805651</v>
      </c>
      <c r="BQ5" s="15" t="n">
        <f aca="false">AVERAGE(BO5:BP5)</f>
        <v>-0.38565531954877</v>
      </c>
      <c r="BR5" s="15" t="n">
        <f aca="false">(AQ5-'Ensemble Parameters'!$B$24)/'Ensemble Parameters'!$C$24</f>
        <v>-0.497377782031911</v>
      </c>
      <c r="BS5" s="15" t="n">
        <f aca="false">BM5*'Ensemble Parameters'!$B$5+BN5*'Ensemble Parameters'!$B$6+BQ5*'Ensemble Parameters'!$B$8+BR5*'Ensemble Parameters'!$B$7</f>
        <v>-0.568849829892091</v>
      </c>
      <c r="BT5" s="16" t="n">
        <f aca="false">'Ensemble Parameters'!$B$11+'Ensemble Parameters'!$B$12*BS5</f>
        <v>94.3115017010791</v>
      </c>
      <c r="BU5" s="17" t="n">
        <f aca="false">'Ensemble Parameters'!$B$13*BS5</f>
        <v>-7.96389761848928</v>
      </c>
      <c r="BV5" s="18" t="n">
        <f aca="false">RANK(BT5,$BT$5:$BT$125,0)</f>
        <v>79</v>
      </c>
      <c r="BW5" s="15" t="n">
        <f aca="false">STDEV(BM5,BN5,BQ5,BR5)</f>
        <v>0.258935374346719</v>
      </c>
      <c r="BX5" s="19" t="str">
        <f aca="false">IF(BW5&lt;'Ensemble Parameters'!$B$14,"High",IF(BW5&lt;'Ensemble Parameters'!$B$15,"Moderate","Low"))</f>
        <v>High</v>
      </c>
      <c r="BY5" s="19" t="str">
        <f aca="false">IF(BX5="Low","REVIEW — MODEL DISAGREEMENT","")</f>
        <v/>
      </c>
      <c r="BZ5" s="20" t="n">
        <v>4</v>
      </c>
    </row>
    <row r="6" customFormat="false" ht="15" hidden="false" customHeight="true" outlineLevel="0" collapsed="false">
      <c r="A6" s="7" t="s">
        <v>80</v>
      </c>
      <c r="B6" s="7" t="s">
        <v>94</v>
      </c>
      <c r="C6" s="7" t="s">
        <v>95</v>
      </c>
      <c r="D6" s="7" t="n">
        <v>52</v>
      </c>
      <c r="E6" s="7" t="s">
        <v>95</v>
      </c>
      <c r="F6" s="8" t="n">
        <v>23.196592723</v>
      </c>
      <c r="G6" s="9" t="n">
        <v>69</v>
      </c>
      <c r="H6" s="8" t="n">
        <v>4.12961536527841</v>
      </c>
      <c r="I6" s="8" t="n">
        <v>10.8077466271648</v>
      </c>
      <c r="J6" s="7" t="s">
        <v>83</v>
      </c>
      <c r="K6" s="7" t="s">
        <v>84</v>
      </c>
      <c r="L6" s="8" t="n">
        <v>-2.24998529803125</v>
      </c>
      <c r="M6" s="8" t="n">
        <v>97.7500147019688</v>
      </c>
      <c r="N6" s="9" t="n">
        <v>54</v>
      </c>
      <c r="O6" s="8" t="n">
        <v>0.585</v>
      </c>
      <c r="P6" s="8" t="n">
        <v>1.36</v>
      </c>
      <c r="Q6" s="7" t="s">
        <v>85</v>
      </c>
      <c r="R6" s="1" t="s">
        <v>86</v>
      </c>
      <c r="S6" s="10" t="n">
        <v>0.470444</v>
      </c>
      <c r="T6" s="11" t="n">
        <v>49</v>
      </c>
      <c r="U6" s="10" t="n">
        <v>0.474849</v>
      </c>
      <c r="V6" s="11" t="n">
        <v>45</v>
      </c>
      <c r="W6" s="10" t="n">
        <v>0.484065</v>
      </c>
      <c r="X6" s="11" t="n">
        <v>49</v>
      </c>
      <c r="Y6" s="10" t="n">
        <v>0.487259226215</v>
      </c>
      <c r="Z6" s="11" t="n">
        <v>45</v>
      </c>
      <c r="AA6" s="10" t="n">
        <v>0.3201</v>
      </c>
      <c r="AB6" s="10" t="n">
        <v>0.6464</v>
      </c>
      <c r="AC6" s="10" t="n">
        <v>0.5678</v>
      </c>
      <c r="AD6" s="10" t="n">
        <v>0.683</v>
      </c>
      <c r="AE6" s="10" t="n">
        <v>0.325</v>
      </c>
      <c r="AF6" s="10" t="n">
        <v>0.52</v>
      </c>
      <c r="AG6" s="12" t="n">
        <v>43.04</v>
      </c>
      <c r="AH6" s="11" t="n">
        <v>-4</v>
      </c>
      <c r="AI6" s="1" t="s">
        <v>87</v>
      </c>
      <c r="AJ6" s="12" t="n">
        <v>5.88</v>
      </c>
      <c r="AK6" s="12" t="n">
        <v>5.91</v>
      </c>
      <c r="AL6" s="12" t="n">
        <v>5.01</v>
      </c>
      <c r="AM6" s="13" t="n">
        <v>-8.91724887495293</v>
      </c>
      <c r="AN6" s="11" t="n">
        <v>63</v>
      </c>
      <c r="AO6" s="11" t="n">
        <v>12</v>
      </c>
      <c r="AP6" s="14" t="s">
        <v>88</v>
      </c>
      <c r="AQ6" s="13" t="n">
        <v>-6.24207421246705</v>
      </c>
      <c r="AR6" s="11" t="n">
        <v>65</v>
      </c>
      <c r="AS6" s="13" t="n">
        <v>0.628659958632683</v>
      </c>
      <c r="AT6" s="13" t="n">
        <v>-5.61341425383436</v>
      </c>
      <c r="AU6" s="11" t="n">
        <v>61</v>
      </c>
      <c r="AV6" s="10"/>
      <c r="AW6" s="14" t="s">
        <v>89</v>
      </c>
      <c r="AX6" s="14" t="s">
        <v>90</v>
      </c>
      <c r="AY6" s="10" t="n">
        <v>-2.14773075257671</v>
      </c>
      <c r="AZ6" s="10" t="n">
        <v>97.8522692474233</v>
      </c>
      <c r="BA6" s="11" t="n">
        <v>55</v>
      </c>
      <c r="BB6" s="14" t="s">
        <v>91</v>
      </c>
      <c r="BC6" s="10"/>
      <c r="BD6" s="11"/>
      <c r="BE6" s="14" t="s">
        <v>92</v>
      </c>
      <c r="BF6" s="10" t="n">
        <v>0.0082851502795932</v>
      </c>
      <c r="BG6" s="11" t="n">
        <v>66</v>
      </c>
      <c r="BH6" s="11" t="n">
        <v>12</v>
      </c>
      <c r="BI6" s="11" t="n">
        <v>12</v>
      </c>
      <c r="BJ6" s="11" t="n">
        <v>0</v>
      </c>
      <c r="BK6" s="10"/>
      <c r="BL6" s="14" t="s">
        <v>93</v>
      </c>
      <c r="BM6" s="15" t="n">
        <f aca="false">(F6-'Ensemble Parameters'!$B$20)/'Ensemble Parameters'!$C$20</f>
        <v>-0.447969888799703</v>
      </c>
      <c r="BN6" s="15" t="n">
        <f aca="false">(L6-'Ensemble Parameters'!$B$21)/'Ensemble Parameters'!$C$21</f>
        <v>-0.235845572522218</v>
      </c>
      <c r="BO6" s="15" t="n">
        <f aca="false">(S6-'Ensemble Parameters'!$B$22)/'Ensemble Parameters'!$C$22</f>
        <v>-0.0521760070009979</v>
      </c>
      <c r="BP6" s="15" t="n">
        <f aca="false">(W6-'Ensemble Parameters'!$B$23)/'Ensemble Parameters'!$C$23</f>
        <v>-0.0353200353823893</v>
      </c>
      <c r="BQ6" s="15" t="n">
        <f aca="false">AVERAGE(BO6:BP6)</f>
        <v>-0.0437480211916936</v>
      </c>
      <c r="BR6" s="15" t="n">
        <f aca="false">(AQ6-'Ensemble Parameters'!$B$24)/'Ensemble Parameters'!$C$24</f>
        <v>-0.408504398644234</v>
      </c>
      <c r="BS6" s="15" t="n">
        <f aca="false">BM6*'Ensemble Parameters'!$B$5+BN6*'Ensemble Parameters'!$B$6+BQ6*'Ensemble Parameters'!$B$8+BR6*'Ensemble Parameters'!$B$7</f>
        <v>-0.284016970289462</v>
      </c>
      <c r="BT6" s="16" t="n">
        <f aca="false">'Ensemble Parameters'!$B$11+'Ensemble Parameters'!$B$12*BS6</f>
        <v>97.1598302971054</v>
      </c>
      <c r="BU6" s="17" t="n">
        <f aca="false">'Ensemble Parameters'!$B$13*BS6</f>
        <v>-3.97623758405247</v>
      </c>
      <c r="BV6" s="18" t="n">
        <f aca="false">RANK(BT6,$BT$5:$BT$125,0)</f>
        <v>57</v>
      </c>
      <c r="BW6" s="15" t="n">
        <f aca="false">STDEV(BM6,BN6,BQ6,BR6)</f>
        <v>0.184776739850923</v>
      </c>
      <c r="BX6" s="19" t="str">
        <f aca="false">IF(BW6&lt;'Ensemble Parameters'!$B$14,"High",IF(BW6&lt;'Ensemble Parameters'!$B$15,"Moderate","Low"))</f>
        <v>High</v>
      </c>
      <c r="BY6" s="19" t="str">
        <f aca="false">IF(BX6="Low","REVIEW — MODEL DISAGREEMENT","")</f>
        <v/>
      </c>
      <c r="BZ6" s="20" t="n">
        <v>4</v>
      </c>
    </row>
    <row r="7" customFormat="false" ht="15" hidden="false" customHeight="true" outlineLevel="0" collapsed="false">
      <c r="A7" s="7" t="s">
        <v>80</v>
      </c>
      <c r="B7" s="7" t="s">
        <v>96</v>
      </c>
      <c r="C7" s="7" t="s">
        <v>97</v>
      </c>
      <c r="D7" s="7" t="n">
        <v>53</v>
      </c>
      <c r="E7" s="7" t="s">
        <v>97</v>
      </c>
      <c r="F7" s="8" t="n">
        <v>22.980486532</v>
      </c>
      <c r="G7" s="9" t="n">
        <v>71</v>
      </c>
      <c r="H7" s="8" t="n">
        <v>4.17452847952205</v>
      </c>
      <c r="I7" s="8" t="n">
        <v>10.4569010934339</v>
      </c>
      <c r="J7" s="7" t="s">
        <v>83</v>
      </c>
      <c r="K7" s="7" t="s">
        <v>84</v>
      </c>
      <c r="L7" s="8" t="n">
        <v>-2.80459981152589</v>
      </c>
      <c r="M7" s="8" t="n">
        <v>97.1954001884741</v>
      </c>
      <c r="N7" s="9" t="n">
        <v>60</v>
      </c>
      <c r="O7" s="8" t="n">
        <v>0.602828571428572</v>
      </c>
      <c r="P7" s="8" t="n">
        <v>1.64525714285715</v>
      </c>
      <c r="Q7" s="7" t="s">
        <v>85</v>
      </c>
      <c r="R7" s="1" t="s">
        <v>86</v>
      </c>
      <c r="S7" s="10" t="n">
        <v>0.455349</v>
      </c>
      <c r="T7" s="11" t="n">
        <v>51</v>
      </c>
      <c r="U7" s="10" t="n">
        <v>0.466358</v>
      </c>
      <c r="V7" s="11" t="n">
        <v>56</v>
      </c>
      <c r="W7" s="10" t="n">
        <v>0.476615</v>
      </c>
      <c r="X7" s="11" t="n">
        <v>50</v>
      </c>
      <c r="Y7" s="10" t="n">
        <v>0.485733678065</v>
      </c>
      <c r="Z7" s="11" t="n">
        <v>56</v>
      </c>
      <c r="AA7" s="10" t="n">
        <v>0.2618</v>
      </c>
      <c r="AB7" s="10" t="n">
        <v>0.4673</v>
      </c>
      <c r="AC7" s="10" t="n">
        <v>0.4725</v>
      </c>
      <c r="AD7" s="10" t="n">
        <v>0.884</v>
      </c>
      <c r="AE7" s="10" t="n">
        <v>0.85</v>
      </c>
      <c r="AF7" s="10" t="n">
        <v>0.5792</v>
      </c>
      <c r="AG7" s="12" t="n">
        <v>16.51</v>
      </c>
      <c r="AH7" s="11" t="n">
        <v>5</v>
      </c>
      <c r="AI7" s="1" t="s">
        <v>87</v>
      </c>
      <c r="AJ7" s="12" t="n">
        <v>5.25</v>
      </c>
      <c r="AK7" s="12" t="n">
        <v>5.33</v>
      </c>
      <c r="AL7" s="12" t="n">
        <v>5.67</v>
      </c>
      <c r="AM7" s="13" t="n">
        <v>-10.7797654878005</v>
      </c>
      <c r="AN7" s="11" t="n">
        <v>75</v>
      </c>
      <c r="AO7" s="11" t="n">
        <v>12</v>
      </c>
      <c r="AP7" s="14" t="s">
        <v>88</v>
      </c>
      <c r="AQ7" s="13" t="n">
        <v>-7.54583584146033</v>
      </c>
      <c r="AR7" s="11" t="n">
        <v>77</v>
      </c>
      <c r="AS7" s="13" t="n">
        <v>1.14768941725506</v>
      </c>
      <c r="AT7" s="13" t="n">
        <v>-6.39814642420527</v>
      </c>
      <c r="AU7" s="11" t="n">
        <v>69</v>
      </c>
      <c r="AV7" s="10"/>
      <c r="AW7" s="14" t="s">
        <v>89</v>
      </c>
      <c r="AX7" s="14" t="s">
        <v>90</v>
      </c>
      <c r="AY7" s="10" t="n">
        <v>-2.22874526607134</v>
      </c>
      <c r="AZ7" s="10" t="n">
        <v>97.7712547339287</v>
      </c>
      <c r="BA7" s="11" t="n">
        <v>56</v>
      </c>
      <c r="BB7" s="14" t="s">
        <v>91</v>
      </c>
      <c r="BC7" s="10"/>
      <c r="BD7" s="11"/>
      <c r="BE7" s="14" t="s">
        <v>92</v>
      </c>
      <c r="BF7" s="10" t="n">
        <v>0.00827384967155422</v>
      </c>
      <c r="BG7" s="11" t="n">
        <v>86</v>
      </c>
      <c r="BH7" s="11" t="n">
        <v>12</v>
      </c>
      <c r="BI7" s="11" t="n">
        <v>12</v>
      </c>
      <c r="BJ7" s="11" t="n">
        <v>0</v>
      </c>
      <c r="BK7" s="10"/>
      <c r="BL7" s="14" t="s">
        <v>93</v>
      </c>
      <c r="BM7" s="15" t="n">
        <f aca="false">(F7-'Ensemble Parameters'!$B$20)/'Ensemble Parameters'!$C$20</f>
        <v>-0.497543620338756</v>
      </c>
      <c r="BN7" s="15" t="n">
        <f aca="false">(L7-'Ensemble Parameters'!$B$21)/'Ensemble Parameters'!$C$21</f>
        <v>-0.293980786818386</v>
      </c>
      <c r="BO7" s="15" t="n">
        <f aca="false">(S7-'Ensemble Parameters'!$B$22)/'Ensemble Parameters'!$C$22</f>
        <v>-0.157443065991118</v>
      </c>
      <c r="BP7" s="15" t="n">
        <f aca="false">(W7-'Ensemble Parameters'!$B$23)/'Ensemble Parameters'!$C$23</f>
        <v>-0.0936943752146317</v>
      </c>
      <c r="BQ7" s="15" t="n">
        <f aca="false">AVERAGE(BO7:BP7)</f>
        <v>-0.125568720602875</v>
      </c>
      <c r="BR7" s="15" t="n">
        <f aca="false">(AQ7-'Ensemble Parameters'!$B$24)/'Ensemble Parameters'!$C$24</f>
        <v>-0.495013573775519</v>
      </c>
      <c r="BS7" s="15" t="n">
        <f aca="false">BM7*'Ensemble Parameters'!$B$5+BN7*'Ensemble Parameters'!$B$6+BQ7*'Ensemble Parameters'!$B$8+BR7*'Ensemble Parameters'!$B$7</f>
        <v>-0.353026675383884</v>
      </c>
      <c r="BT7" s="16" t="n">
        <f aca="false">'Ensemble Parameters'!$B$11+'Ensemble Parameters'!$B$12*BS7</f>
        <v>96.4697332461612</v>
      </c>
      <c r="BU7" s="17" t="n">
        <f aca="false">'Ensemble Parameters'!$B$13*BS7</f>
        <v>-4.94237345537438</v>
      </c>
      <c r="BV7" s="18" t="n">
        <f aca="false">RANK(BT7,$BT$5:$BT$125,0)</f>
        <v>65</v>
      </c>
      <c r="BW7" s="15" t="n">
        <f aca="false">STDEV(BM7,BN7,BQ7,BR7)</f>
        <v>0.179135856120073</v>
      </c>
      <c r="BX7" s="19" t="str">
        <f aca="false">IF(BW7&lt;'Ensemble Parameters'!$B$14,"High",IF(BW7&lt;'Ensemble Parameters'!$B$15,"Moderate","Low"))</f>
        <v>High</v>
      </c>
      <c r="BY7" s="19" t="str">
        <f aca="false">IF(BX7="Low","REVIEW — MODEL DISAGREEMENT","")</f>
        <v/>
      </c>
      <c r="BZ7" s="20" t="n">
        <v>4</v>
      </c>
    </row>
    <row r="8" customFormat="false" ht="15" hidden="false" customHeight="true" outlineLevel="0" collapsed="false">
      <c r="A8" s="7" t="s">
        <v>80</v>
      </c>
      <c r="B8" s="7" t="s">
        <v>98</v>
      </c>
      <c r="C8" s="7" t="s">
        <v>99</v>
      </c>
      <c r="D8" s="7" t="n">
        <v>54</v>
      </c>
      <c r="E8" s="7" t="s">
        <v>99</v>
      </c>
      <c r="F8" s="8" t="n">
        <v>26.563777908</v>
      </c>
      <c r="G8" s="9" t="n">
        <v>38</v>
      </c>
      <c r="H8" s="8" t="n">
        <v>3.94058248353546</v>
      </c>
      <c r="I8" s="8" t="n">
        <v>14.7420304573936</v>
      </c>
      <c r="J8" s="7" t="s">
        <v>83</v>
      </c>
      <c r="K8" s="7" t="s">
        <v>84</v>
      </c>
      <c r="L8" s="8" t="n">
        <v>0.0793855233081831</v>
      </c>
      <c r="M8" s="8" t="n">
        <v>100.079385523308</v>
      </c>
      <c r="N8" s="9" t="n">
        <v>43</v>
      </c>
      <c r="O8" s="8" t="n">
        <v>0.553685714285714</v>
      </c>
      <c r="P8" s="8" t="n">
        <v>0.858971428571429</v>
      </c>
      <c r="Q8" s="7" t="s">
        <v>85</v>
      </c>
      <c r="R8" s="1" t="s">
        <v>86</v>
      </c>
      <c r="S8" s="10" t="n">
        <v>0.516025</v>
      </c>
      <c r="T8" s="11" t="n">
        <v>40</v>
      </c>
      <c r="U8" s="10" t="n">
        <v>0.510583</v>
      </c>
      <c r="V8" s="11" t="n">
        <v>41</v>
      </c>
      <c r="W8" s="10" t="n">
        <v>0.525065</v>
      </c>
      <c r="X8" s="11" t="n">
        <v>41</v>
      </c>
      <c r="Y8" s="10" t="n">
        <v>0.518819214415</v>
      </c>
      <c r="Z8" s="11" t="n">
        <v>41</v>
      </c>
      <c r="AA8" s="10" t="n">
        <v>0.4666</v>
      </c>
      <c r="AB8" s="10" t="n">
        <v>0.4429</v>
      </c>
      <c r="AC8" s="10" t="n">
        <v>0.4607</v>
      </c>
      <c r="AD8" s="10" t="n">
        <v>0.58</v>
      </c>
      <c r="AE8" s="10" t="n">
        <v>1</v>
      </c>
      <c r="AF8" s="10" t="n">
        <v>0.4548</v>
      </c>
      <c r="AG8" s="12" t="n">
        <v>14.1</v>
      </c>
      <c r="AH8" s="11" t="n">
        <v>1</v>
      </c>
      <c r="AI8" s="1" t="s">
        <v>87</v>
      </c>
      <c r="AJ8" s="12" t="n">
        <v>5.72</v>
      </c>
      <c r="AK8" s="12" t="n">
        <v>5.82</v>
      </c>
      <c r="AL8" s="12" t="n">
        <v>6.32</v>
      </c>
      <c r="AM8" s="13" t="n">
        <v>-3.16475501849733</v>
      </c>
      <c r="AN8" s="11" t="n">
        <v>45</v>
      </c>
      <c r="AO8" s="11" t="n">
        <v>13</v>
      </c>
      <c r="AP8" s="14" t="s">
        <v>88</v>
      </c>
      <c r="AQ8" s="13" t="n">
        <v>-2.21532851294813</v>
      </c>
      <c r="AR8" s="11" t="n">
        <v>45</v>
      </c>
      <c r="AS8" s="13" t="n">
        <v>-0.149709316500416</v>
      </c>
      <c r="AT8" s="13" t="n">
        <v>-2.36503782944854</v>
      </c>
      <c r="AU8" s="11" t="n">
        <v>46</v>
      </c>
      <c r="AV8" s="10"/>
      <c r="AW8" s="14" t="s">
        <v>89</v>
      </c>
      <c r="AX8" s="14" t="s">
        <v>90</v>
      </c>
      <c r="AY8" s="10" t="n">
        <v>-0.339959931237272</v>
      </c>
      <c r="AZ8" s="10" t="n">
        <v>99.6600400687627</v>
      </c>
      <c r="BA8" s="11" t="n">
        <v>42</v>
      </c>
      <c r="BB8" s="14" t="s">
        <v>91</v>
      </c>
      <c r="BC8" s="10"/>
      <c r="BD8" s="11"/>
      <c r="BE8" s="14" t="s">
        <v>92</v>
      </c>
      <c r="BF8" s="10" t="n">
        <v>0.00828030338280573</v>
      </c>
      <c r="BG8" s="11" t="n">
        <v>76</v>
      </c>
      <c r="BH8" s="11" t="n">
        <v>12</v>
      </c>
      <c r="BI8" s="11" t="n">
        <v>12</v>
      </c>
      <c r="BJ8" s="11" t="n">
        <v>0</v>
      </c>
      <c r="BK8" s="10"/>
      <c r="BL8" s="14" t="s">
        <v>93</v>
      </c>
      <c r="BM8" s="15" t="n">
        <f aca="false">(F8-'Ensemble Parameters'!$B$20)/'Ensemble Parameters'!$C$20</f>
        <v>0.324446364668335</v>
      </c>
      <c r="BN8" s="15" t="n">
        <f aca="false">(L8-'Ensemble Parameters'!$B$21)/'Ensemble Parameters'!$C$21</f>
        <v>0.00832126512603295</v>
      </c>
      <c r="BO8" s="15" t="n">
        <f aca="false">(S8-'Ensemble Parameters'!$B$22)/'Ensemble Parameters'!$C$22</f>
        <v>0.265689366687554</v>
      </c>
      <c r="BP8" s="15" t="n">
        <f aca="false">(W8-'Ensemble Parameters'!$B$23)/'Ensemble Parameters'!$C$23</f>
        <v>0.28593472074136</v>
      </c>
      <c r="BQ8" s="15" t="n">
        <f aca="false">AVERAGE(BO8:BP8)</f>
        <v>0.275812043714457</v>
      </c>
      <c r="BR8" s="15" t="n">
        <f aca="false">(AQ8-'Ensemble Parameters'!$B$24)/'Ensemble Parameters'!$C$24</f>
        <v>-0.141315641756358</v>
      </c>
      <c r="BS8" s="15" t="n">
        <f aca="false">BM8*'Ensemble Parameters'!$B$5+BN8*'Ensemble Parameters'!$B$6+BQ8*'Ensemble Parameters'!$B$8+BR8*'Ensemble Parameters'!$B$7</f>
        <v>0.116816007938117</v>
      </c>
      <c r="BT8" s="16" t="n">
        <f aca="false">'Ensemble Parameters'!$B$11+'Ensemble Parameters'!$B$12*BS8</f>
        <v>101.168160079381</v>
      </c>
      <c r="BU8" s="17" t="n">
        <f aca="false">'Ensemble Parameters'!$B$13*BS8</f>
        <v>1.63542411113364</v>
      </c>
      <c r="BV8" s="18" t="n">
        <f aca="false">RANK(BT8,$BT$5:$BT$125,0)</f>
        <v>39</v>
      </c>
      <c r="BW8" s="15" t="n">
        <f aca="false">STDEV(BM8,BN8,BQ8,BR8)</f>
        <v>0.221203648418043</v>
      </c>
      <c r="BX8" s="19" t="str">
        <f aca="false">IF(BW8&lt;'Ensemble Parameters'!$B$14,"High",IF(BW8&lt;'Ensemble Parameters'!$B$15,"Moderate","Low"))</f>
        <v>High</v>
      </c>
      <c r="BY8" s="19" t="str">
        <f aca="false">IF(BX8="Low","REVIEW — MODEL DISAGREEMENT","")</f>
        <v/>
      </c>
      <c r="BZ8" s="20" t="n">
        <v>4</v>
      </c>
    </row>
    <row r="9" customFormat="false" ht="15" hidden="false" customHeight="true" outlineLevel="0" collapsed="false">
      <c r="A9" s="7" t="s">
        <v>80</v>
      </c>
      <c r="B9" s="7" t="s">
        <v>100</v>
      </c>
      <c r="C9" s="7" t="s">
        <v>101</v>
      </c>
      <c r="D9" s="7" t="n">
        <v>55</v>
      </c>
      <c r="E9" s="7" t="s">
        <v>101</v>
      </c>
      <c r="F9" s="8" t="n">
        <v>24.009661056</v>
      </c>
      <c r="G9" s="9" t="n">
        <v>57</v>
      </c>
      <c r="H9" s="8" t="n">
        <v>4.25618214837382</v>
      </c>
      <c r="I9" s="8" t="n">
        <v>11.2411146108785</v>
      </c>
      <c r="J9" s="7" t="s">
        <v>83</v>
      </c>
      <c r="K9" s="7" t="s">
        <v>84</v>
      </c>
      <c r="L9" s="8" t="n">
        <v>-4.11812637780292</v>
      </c>
      <c r="M9" s="8" t="n">
        <v>95.8818736221971</v>
      </c>
      <c r="N9" s="9" t="n">
        <v>76</v>
      </c>
      <c r="O9" s="8" t="n">
        <v>0.617542857142857</v>
      </c>
      <c r="P9" s="8" t="n">
        <v>1.88068571428572</v>
      </c>
      <c r="Q9" s="7" t="s">
        <v>85</v>
      </c>
      <c r="R9" s="1" t="s">
        <v>86</v>
      </c>
      <c r="S9" s="10" t="n">
        <v>0.476502</v>
      </c>
      <c r="T9" s="11" t="n">
        <v>48</v>
      </c>
      <c r="U9" s="10" t="n">
        <v>0.478297</v>
      </c>
      <c r="V9" s="11" t="n">
        <v>47</v>
      </c>
      <c r="W9" s="10" t="n">
        <v>0.50097</v>
      </c>
      <c r="X9" s="11" t="n">
        <v>45</v>
      </c>
      <c r="Y9" s="10" t="n">
        <v>0.50059044397</v>
      </c>
      <c r="Z9" s="11" t="n">
        <v>47</v>
      </c>
      <c r="AA9" s="10" t="n">
        <v>0.2914</v>
      </c>
      <c r="AB9" s="10" t="n">
        <v>0.5054</v>
      </c>
      <c r="AC9" s="10" t="n">
        <v>0.5352</v>
      </c>
      <c r="AD9" s="10" t="n">
        <v>0.791</v>
      </c>
      <c r="AE9" s="10" t="n">
        <v>0.85</v>
      </c>
      <c r="AF9" s="10" t="n">
        <v>0.4967</v>
      </c>
      <c r="AG9" s="12" t="n">
        <v>32.56</v>
      </c>
      <c r="AH9" s="11" t="n">
        <v>-1</v>
      </c>
      <c r="AI9" s="1" t="s">
        <v>87</v>
      </c>
      <c r="AJ9" s="12" t="n">
        <v>4.67</v>
      </c>
      <c r="AK9" s="12" t="n">
        <v>4.99</v>
      </c>
      <c r="AL9" s="12" t="n">
        <v>5.41</v>
      </c>
      <c r="AM9" s="13" t="n">
        <v>-15.0915196895463</v>
      </c>
      <c r="AN9" s="11" t="n">
        <v>88</v>
      </c>
      <c r="AO9" s="11" t="n">
        <v>12</v>
      </c>
      <c r="AP9" s="14" t="s">
        <v>88</v>
      </c>
      <c r="AQ9" s="13" t="n">
        <v>-10.5640637826824</v>
      </c>
      <c r="AR9" s="11" t="n">
        <v>90</v>
      </c>
      <c r="AS9" s="13" t="n">
        <v>1.36976547013526</v>
      </c>
      <c r="AT9" s="13" t="n">
        <v>-9.19429831254716</v>
      </c>
      <c r="AU9" s="11" t="n">
        <v>88</v>
      </c>
      <c r="AV9" s="10"/>
      <c r="AW9" s="14" t="s">
        <v>89</v>
      </c>
      <c r="AX9" s="14" t="s">
        <v>90</v>
      </c>
      <c r="AY9" s="10" t="n">
        <v>-4.20227183234838</v>
      </c>
      <c r="AZ9" s="10" t="n">
        <v>95.7977281676516</v>
      </c>
      <c r="BA9" s="11" t="n">
        <v>72</v>
      </c>
      <c r="BB9" s="14" t="s">
        <v>91</v>
      </c>
      <c r="BC9" s="10"/>
      <c r="BD9" s="11"/>
      <c r="BE9" s="14" t="s">
        <v>92</v>
      </c>
      <c r="BF9" s="10" t="n">
        <v>0.00827682463770965</v>
      </c>
      <c r="BG9" s="11" t="n">
        <v>82</v>
      </c>
      <c r="BH9" s="11" t="n">
        <v>12</v>
      </c>
      <c r="BI9" s="11" t="n">
        <v>12</v>
      </c>
      <c r="BJ9" s="11" t="n">
        <v>0</v>
      </c>
      <c r="BK9" s="10"/>
      <c r="BL9" s="14" t="s">
        <v>93</v>
      </c>
      <c r="BM9" s="15" t="n">
        <f aca="false">(F9-'Ensemble Parameters'!$B$20)/'Ensemble Parameters'!$C$20</f>
        <v>-0.261455883455693</v>
      </c>
      <c r="BN9" s="15" t="n">
        <f aca="false">(L9-'Ensemble Parameters'!$B$21)/'Ensemble Parameters'!$C$21</f>
        <v>-0.431665875391105</v>
      </c>
      <c r="BO9" s="15" t="n">
        <f aca="false">(S9-'Ensemble Parameters'!$B$22)/'Ensemble Parameters'!$C$22</f>
        <v>-0.0099297106537205</v>
      </c>
      <c r="BP9" s="15" t="n">
        <f aca="false">(W9-'Ensemble Parameters'!$B$23)/'Ensemble Parameters'!$C$23</f>
        <v>0.0971387854047324</v>
      </c>
      <c r="BQ9" s="15" t="n">
        <f aca="false">AVERAGE(BO9:BP9)</f>
        <v>0.0436045373755059</v>
      </c>
      <c r="BR9" s="15" t="n">
        <f aca="false">(AQ9-'Ensemble Parameters'!$B$24)/'Ensemble Parameters'!$C$24</f>
        <v>-0.695283626020369</v>
      </c>
      <c r="BS9" s="15" t="n">
        <f aca="false">BM9*'Ensemble Parameters'!$B$5+BN9*'Ensemble Parameters'!$B$6+BQ9*'Ensemble Parameters'!$B$8+BR9*'Ensemble Parameters'!$B$7</f>
        <v>-0.336200211872915</v>
      </c>
      <c r="BT9" s="16" t="n">
        <f aca="false">'Ensemble Parameters'!$B$11+'Ensemble Parameters'!$B$12*BS9</f>
        <v>96.6379978812709</v>
      </c>
      <c r="BU9" s="17" t="n">
        <f aca="false">'Ensemble Parameters'!$B$13*BS9</f>
        <v>-4.70680296622081</v>
      </c>
      <c r="BV9" s="18" t="n">
        <f aca="false">RANK(BT9,$BT$5:$BT$125,0)</f>
        <v>61</v>
      </c>
      <c r="BW9" s="15" t="n">
        <f aca="false">STDEV(BM9,BN9,BQ9,BR9)</f>
        <v>0.309781080447121</v>
      </c>
      <c r="BX9" s="19" t="str">
        <f aca="false">IF(BW9&lt;'Ensemble Parameters'!$B$14,"High",IF(BW9&lt;'Ensemble Parameters'!$B$15,"Moderate","Low"))</f>
        <v>Moderate</v>
      </c>
      <c r="BY9" s="19" t="str">
        <f aca="false">IF(BX9="Low","REVIEW — MODEL DISAGREEMENT","")</f>
        <v/>
      </c>
      <c r="BZ9" s="20" t="n">
        <v>4</v>
      </c>
    </row>
    <row r="10" customFormat="false" ht="15" hidden="false" customHeight="true" outlineLevel="0" collapsed="false">
      <c r="A10" s="7" t="s">
        <v>80</v>
      </c>
      <c r="B10" s="7" t="s">
        <v>102</v>
      </c>
      <c r="C10" s="7" t="s">
        <v>103</v>
      </c>
      <c r="D10" s="7" t="n">
        <v>56</v>
      </c>
      <c r="E10" s="7" t="s">
        <v>103</v>
      </c>
      <c r="F10" s="8" t="n">
        <v>29.58650199</v>
      </c>
      <c r="G10" s="9" t="n">
        <v>24</v>
      </c>
      <c r="H10" s="8" t="n">
        <v>4.32469563937097</v>
      </c>
      <c r="I10" s="8" t="n">
        <v>16.6124150718871</v>
      </c>
      <c r="J10" s="7" t="s">
        <v>83</v>
      </c>
      <c r="K10" s="7" t="s">
        <v>84</v>
      </c>
      <c r="L10" s="8" t="n">
        <v>7.44477514934818</v>
      </c>
      <c r="M10" s="8" t="n">
        <v>107.444775149348</v>
      </c>
      <c r="N10" s="9" t="n">
        <v>27</v>
      </c>
      <c r="O10" s="8" t="n">
        <v>0.568552380952381</v>
      </c>
      <c r="P10" s="8" t="n">
        <v>1.0968380952381</v>
      </c>
      <c r="Q10" s="7" t="s">
        <v>85</v>
      </c>
      <c r="R10" s="1" t="s">
        <v>86</v>
      </c>
      <c r="S10" s="10" t="n">
        <v>0.605378</v>
      </c>
      <c r="T10" s="11" t="n">
        <v>26</v>
      </c>
      <c r="U10" s="10" t="n">
        <v>0.599353</v>
      </c>
      <c r="V10" s="11" t="n">
        <v>26</v>
      </c>
      <c r="W10" s="10" t="n">
        <v>0.600255</v>
      </c>
      <c r="X10" s="11" t="n">
        <v>26</v>
      </c>
      <c r="Y10" s="10" t="n">
        <v>0.594685659705</v>
      </c>
      <c r="Z10" s="11" t="n">
        <v>26</v>
      </c>
      <c r="AA10" s="10" t="n">
        <v>0.6537</v>
      </c>
      <c r="AB10" s="10" t="n">
        <v>0.4513</v>
      </c>
      <c r="AC10" s="10" t="n">
        <v>0.5172</v>
      </c>
      <c r="AD10" s="10" t="n">
        <v>0.669</v>
      </c>
      <c r="AE10" s="10" t="n">
        <v>0.85</v>
      </c>
      <c r="AF10" s="10" t="n">
        <v>0.5376</v>
      </c>
      <c r="AG10" s="12" t="n">
        <v>27.42</v>
      </c>
      <c r="AH10" s="11" t="n">
        <v>0</v>
      </c>
      <c r="AI10" s="1" t="s">
        <v>87</v>
      </c>
      <c r="AJ10" s="12" t="n">
        <v>7.72</v>
      </c>
      <c r="AK10" s="12" t="n">
        <v>7.5</v>
      </c>
      <c r="AL10" s="12" t="n">
        <v>6.89</v>
      </c>
      <c r="AM10" s="13" t="n">
        <v>14.548386197127</v>
      </c>
      <c r="AN10" s="11" t="n">
        <v>27</v>
      </c>
      <c r="AO10" s="11" t="n">
        <v>13</v>
      </c>
      <c r="AP10" s="14" t="s">
        <v>88</v>
      </c>
      <c r="AQ10" s="13" t="n">
        <v>10.1838703379889</v>
      </c>
      <c r="AR10" s="11" t="n">
        <v>27</v>
      </c>
      <c r="AS10" s="13" t="n">
        <v>-0.604964925902769</v>
      </c>
      <c r="AT10" s="13" t="n">
        <v>9.57890541208615</v>
      </c>
      <c r="AU10" s="11" t="n">
        <v>27</v>
      </c>
      <c r="AV10" s="10"/>
      <c r="AW10" s="14" t="s">
        <v>89</v>
      </c>
      <c r="AX10" s="14" t="s">
        <v>90</v>
      </c>
      <c r="AY10" s="10" t="n">
        <v>7.68782969480272</v>
      </c>
      <c r="AZ10" s="10" t="n">
        <v>107.687829694803</v>
      </c>
      <c r="BA10" s="11" t="n">
        <v>27</v>
      </c>
      <c r="BB10" s="14" t="s">
        <v>91</v>
      </c>
      <c r="BC10" s="10"/>
      <c r="BD10" s="11"/>
      <c r="BE10" s="14" t="s">
        <v>92</v>
      </c>
      <c r="BF10" s="10" t="n">
        <v>0.00827830848830357</v>
      </c>
      <c r="BG10" s="11" t="n">
        <v>78</v>
      </c>
      <c r="BH10" s="11" t="n">
        <v>12</v>
      </c>
      <c r="BI10" s="11" t="n">
        <v>12</v>
      </c>
      <c r="BJ10" s="11" t="n">
        <v>0</v>
      </c>
      <c r="BK10" s="10"/>
      <c r="BL10" s="14" t="s">
        <v>93</v>
      </c>
      <c r="BM10" s="15" t="n">
        <f aca="false">(F10-'Ensemble Parameters'!$B$20)/'Ensemble Parameters'!$C$20</f>
        <v>1.01784488076036</v>
      </c>
      <c r="BN10" s="15" t="n">
        <f aca="false">(L10-'Ensemble Parameters'!$B$21)/'Ensemble Parameters'!$C$21</f>
        <v>0.780368324599076</v>
      </c>
      <c r="BO10" s="15" t="n">
        <f aca="false">(S10-'Ensemble Parameters'!$B$22)/'Ensemble Parameters'!$C$22</f>
        <v>0.888804803715991</v>
      </c>
      <c r="BP10" s="15" t="n">
        <f aca="false">(W10-'Ensemble Parameters'!$B$23)/'Ensemble Parameters'!$C$23</f>
        <v>0.87508460154489</v>
      </c>
      <c r="BQ10" s="15" t="n">
        <f aca="false">AVERAGE(BO10:BP10)</f>
        <v>0.881944702630441</v>
      </c>
      <c r="BR10" s="15" t="n">
        <f aca="false">(AQ10-'Ensemble Parameters'!$B$24)/'Ensemble Parameters'!$C$24</f>
        <v>0.681414864365062</v>
      </c>
      <c r="BS10" s="15" t="n">
        <f aca="false">BM10*'Ensemble Parameters'!$B$5+BN10*'Ensemble Parameters'!$B$6+BQ10*'Ensemble Parameters'!$B$8+BR10*'Ensemble Parameters'!$B$7</f>
        <v>0.840393193088735</v>
      </c>
      <c r="BT10" s="16" t="n">
        <f aca="false">'Ensemble Parameters'!$B$11+'Ensemble Parameters'!$B$12*BS10</f>
        <v>108.403931930887</v>
      </c>
      <c r="BU10" s="17" t="n">
        <f aca="false">'Ensemble Parameters'!$B$13*BS10</f>
        <v>11.7655047032423</v>
      </c>
      <c r="BV10" s="18" t="n">
        <f aca="false">RANK(BT10,$BT$5:$BT$125,0)</f>
        <v>25</v>
      </c>
      <c r="BW10" s="15" t="n">
        <f aca="false">STDEV(BM10,BN10,BQ10,BR10)</f>
        <v>0.143866515960312</v>
      </c>
      <c r="BX10" s="19" t="str">
        <f aca="false">IF(BW10&lt;'Ensemble Parameters'!$B$14,"High",IF(BW10&lt;'Ensemble Parameters'!$B$15,"Moderate","Low"))</f>
        <v>High</v>
      </c>
      <c r="BY10" s="19" t="str">
        <f aca="false">IF(BX10="Low","REVIEW — MODEL DISAGREEMENT","")</f>
        <v/>
      </c>
      <c r="BZ10" s="20" t="n">
        <v>4</v>
      </c>
    </row>
    <row r="11" customFormat="false" ht="15" hidden="false" customHeight="true" outlineLevel="0" collapsed="false">
      <c r="A11" s="7" t="s">
        <v>80</v>
      </c>
      <c r="B11" s="7" t="s">
        <v>104</v>
      </c>
      <c r="C11" s="7" t="s">
        <v>105</v>
      </c>
      <c r="D11" s="7" t="n">
        <v>57</v>
      </c>
      <c r="E11" s="7" t="s">
        <v>105</v>
      </c>
      <c r="F11" s="8" t="n">
        <v>25.778788472</v>
      </c>
      <c r="G11" s="9" t="n">
        <v>40</v>
      </c>
      <c r="H11" s="8" t="n">
        <v>4.03898246228206</v>
      </c>
      <c r="I11" s="8" t="n">
        <v>13.6618410851538</v>
      </c>
      <c r="J11" s="7" t="s">
        <v>83</v>
      </c>
      <c r="K11" s="7" t="s">
        <v>84</v>
      </c>
      <c r="L11" s="8" t="n">
        <v>2.93520472565506</v>
      </c>
      <c r="M11" s="8" t="n">
        <v>102.935204725655</v>
      </c>
      <c r="N11" s="9" t="n">
        <v>33</v>
      </c>
      <c r="O11" s="8" t="n">
        <v>0.588361904761905</v>
      </c>
      <c r="P11" s="8" t="n">
        <v>1.41379047619048</v>
      </c>
      <c r="Q11" s="7" t="s">
        <v>85</v>
      </c>
      <c r="R11" s="1" t="s">
        <v>86</v>
      </c>
      <c r="S11" s="10" t="n">
        <v>0.536788</v>
      </c>
      <c r="T11" s="11" t="n">
        <v>37</v>
      </c>
      <c r="U11" s="10" t="n">
        <v>0.543038</v>
      </c>
      <c r="V11" s="11" t="n">
        <v>33</v>
      </c>
      <c r="W11" s="10" t="n">
        <v>0.551205</v>
      </c>
      <c r="X11" s="11" t="n">
        <v>34</v>
      </c>
      <c r="Y11" s="10" t="n">
        <v>0.556173450655</v>
      </c>
      <c r="Z11" s="11" t="n">
        <v>33</v>
      </c>
      <c r="AA11" s="10" t="n">
        <v>0.4691</v>
      </c>
      <c r="AB11" s="10" t="n">
        <v>0.4891</v>
      </c>
      <c r="AC11" s="10" t="n">
        <v>0.5688</v>
      </c>
      <c r="AD11" s="10" t="n">
        <v>0.62</v>
      </c>
      <c r="AE11" s="10" t="n">
        <v>0.85</v>
      </c>
      <c r="AF11" s="10" t="n">
        <v>0.6071</v>
      </c>
      <c r="AG11" s="12" t="n">
        <v>43.39</v>
      </c>
      <c r="AH11" s="11" t="n">
        <v>-4</v>
      </c>
      <c r="AI11" s="1" t="s">
        <v>87</v>
      </c>
      <c r="AJ11" s="12" t="n">
        <v>6.32</v>
      </c>
      <c r="AK11" s="12" t="n">
        <v>6.44</v>
      </c>
      <c r="AL11" s="12" t="n">
        <v>6.43</v>
      </c>
      <c r="AM11" s="13" t="n">
        <v>4.00873277882477</v>
      </c>
      <c r="AN11" s="11" t="n">
        <v>31</v>
      </c>
      <c r="AO11" s="11" t="n">
        <v>13</v>
      </c>
      <c r="AP11" s="14" t="s">
        <v>88</v>
      </c>
      <c r="AQ11" s="13" t="n">
        <v>2.80611294517734</v>
      </c>
      <c r="AR11" s="11" t="n">
        <v>31</v>
      </c>
      <c r="AS11" s="13" t="n">
        <v>0.43750647644281</v>
      </c>
      <c r="AT11" s="13" t="n">
        <v>3.24361942162015</v>
      </c>
      <c r="AU11" s="11" t="n">
        <v>31</v>
      </c>
      <c r="AV11" s="10"/>
      <c r="AW11" s="14" t="s">
        <v>89</v>
      </c>
      <c r="AX11" s="14" t="s">
        <v>90</v>
      </c>
      <c r="AY11" s="10" t="n">
        <v>3.73425927110961</v>
      </c>
      <c r="AZ11" s="10" t="n">
        <v>103.73425927111</v>
      </c>
      <c r="BA11" s="11" t="n">
        <v>33</v>
      </c>
      <c r="BB11" s="14" t="s">
        <v>91</v>
      </c>
      <c r="BC11" s="10"/>
      <c r="BD11" s="11"/>
      <c r="BE11" s="14" t="s">
        <v>92</v>
      </c>
      <c r="BF11" s="10" t="n">
        <v>0.00826587743810061</v>
      </c>
      <c r="BG11" s="11" t="n">
        <v>95</v>
      </c>
      <c r="BH11" s="11" t="n">
        <v>12</v>
      </c>
      <c r="BI11" s="11" t="n">
        <v>12</v>
      </c>
      <c r="BJ11" s="11" t="n">
        <v>0</v>
      </c>
      <c r="BK11" s="10"/>
      <c r="BL11" s="14" t="s">
        <v>93</v>
      </c>
      <c r="BM11" s="15" t="n">
        <f aca="false">(F11-'Ensemble Parameters'!$B$20)/'Ensemble Parameters'!$C$20</f>
        <v>0.144373524639161</v>
      </c>
      <c r="BN11" s="15" t="n">
        <f aca="false">(L11-'Ensemble Parameters'!$B$21)/'Ensemble Parameters'!$C$21</f>
        <v>0.30767091660455</v>
      </c>
      <c r="BO11" s="15" t="n">
        <f aca="false">(S11-'Ensemble Parameters'!$B$22)/'Ensemble Parameters'!$C$22</f>
        <v>0.410483003375986</v>
      </c>
      <c r="BP11" s="15" t="n">
        <f aca="false">(W11-'Ensemble Parameters'!$B$23)/'Ensemble Parameters'!$C$23</f>
        <v>0.490754216474892</v>
      </c>
      <c r="BQ11" s="15" t="n">
        <f aca="false">AVERAGE(BO11:BP11)</f>
        <v>0.450618609925439</v>
      </c>
      <c r="BR11" s="15" t="n">
        <f aca="false">(AQ11-'Ensemble Parameters'!$B$24)/'Ensemble Parameters'!$C$24</f>
        <v>0.191874681422502</v>
      </c>
      <c r="BS11" s="15" t="n">
        <f aca="false">BM11*'Ensemble Parameters'!$B$5+BN11*'Ensemble Parameters'!$B$6+BQ11*'Ensemble Parameters'!$B$8+BR11*'Ensemble Parameters'!$B$7</f>
        <v>0.273634433147913</v>
      </c>
      <c r="BT11" s="16" t="n">
        <f aca="false">'Ensemble Parameters'!$B$11+'Ensemble Parameters'!$B$12*BS11</f>
        <v>102.736344331479</v>
      </c>
      <c r="BU11" s="17" t="n">
        <f aca="false">'Ensemble Parameters'!$B$13*BS11</f>
        <v>3.83088206407078</v>
      </c>
      <c r="BV11" s="18" t="n">
        <f aca="false">RANK(BT11,$BT$5:$BT$125,0)</f>
        <v>34</v>
      </c>
      <c r="BW11" s="15" t="n">
        <f aca="false">STDEV(BM11,BN11,BQ11,BR11)</f>
        <v>0.136473343558881</v>
      </c>
      <c r="BX11" s="19" t="str">
        <f aca="false">IF(BW11&lt;'Ensemble Parameters'!$B$14,"High",IF(BW11&lt;'Ensemble Parameters'!$B$15,"Moderate","Low"))</f>
        <v>High</v>
      </c>
      <c r="BY11" s="19" t="str">
        <f aca="false">IF(BX11="Low","REVIEW — MODEL DISAGREEMENT","")</f>
        <v/>
      </c>
      <c r="BZ11" s="20" t="n">
        <v>4</v>
      </c>
    </row>
    <row r="12" customFormat="false" ht="15" hidden="false" customHeight="true" outlineLevel="0" collapsed="false">
      <c r="A12" s="7" t="s">
        <v>80</v>
      </c>
      <c r="B12" s="7" t="s">
        <v>106</v>
      </c>
      <c r="C12" s="7" t="s">
        <v>107</v>
      </c>
      <c r="D12" s="7" t="n">
        <v>58</v>
      </c>
      <c r="E12" s="7" t="s">
        <v>107</v>
      </c>
      <c r="F12" s="8" t="n">
        <v>35.448411309</v>
      </c>
      <c r="G12" s="9" t="n">
        <v>2</v>
      </c>
      <c r="H12" s="8" t="n">
        <v>4.12675808815787</v>
      </c>
      <c r="I12" s="8" t="n">
        <v>23.0681370445264</v>
      </c>
      <c r="J12" s="7" t="s">
        <v>83</v>
      </c>
      <c r="K12" s="7" t="s">
        <v>84</v>
      </c>
      <c r="L12" s="8" t="n">
        <v>21.3880674959069</v>
      </c>
      <c r="M12" s="8" t="n">
        <v>121.388067495907</v>
      </c>
      <c r="N12" s="9" t="n">
        <v>3</v>
      </c>
      <c r="O12" s="8" t="n">
        <v>0.647704761904762</v>
      </c>
      <c r="P12" s="8" t="n">
        <v>2.36327619047619</v>
      </c>
      <c r="Q12" s="7" t="s">
        <v>85</v>
      </c>
      <c r="R12" s="1" t="s">
        <v>86</v>
      </c>
      <c r="S12" s="10" t="n">
        <v>0.796767</v>
      </c>
      <c r="T12" s="11" t="n">
        <v>3</v>
      </c>
      <c r="U12" s="10" t="n">
        <v>0.802912</v>
      </c>
      <c r="V12" s="11" t="n">
        <v>3</v>
      </c>
      <c r="W12" s="10" t="n">
        <v>0.771735</v>
      </c>
      <c r="X12" s="11" t="n">
        <v>3</v>
      </c>
      <c r="Y12" s="10" t="n">
        <v>0.780105232685</v>
      </c>
      <c r="Z12" s="11" t="n">
        <v>3</v>
      </c>
      <c r="AA12" s="10" t="n">
        <v>0.9924</v>
      </c>
      <c r="AB12" s="10" t="n">
        <v>0.4701</v>
      </c>
      <c r="AC12" s="10" t="n">
        <v>0.5935</v>
      </c>
      <c r="AD12" s="10" t="n">
        <v>0.82</v>
      </c>
      <c r="AE12" s="10" t="n">
        <v>1</v>
      </c>
      <c r="AF12" s="10" t="n">
        <v>0.8659</v>
      </c>
      <c r="AG12" s="12" t="n">
        <v>52.35</v>
      </c>
      <c r="AH12" s="11" t="n">
        <v>0</v>
      </c>
      <c r="AI12" s="1" t="s">
        <v>87</v>
      </c>
      <c r="AJ12" s="12" t="n">
        <v>10.93</v>
      </c>
      <c r="AK12" s="12" t="n">
        <v>10.58</v>
      </c>
      <c r="AL12" s="12" t="n">
        <v>9.46</v>
      </c>
      <c r="AM12" s="13" t="n">
        <v>51.4483780440907</v>
      </c>
      <c r="AN12" s="11" t="n">
        <v>2</v>
      </c>
      <c r="AO12" s="11" t="n">
        <v>16</v>
      </c>
      <c r="AP12" s="14" t="s">
        <v>88</v>
      </c>
      <c r="AQ12" s="13" t="n">
        <v>36.0138646308635</v>
      </c>
      <c r="AR12" s="11" t="n">
        <v>2</v>
      </c>
      <c r="AS12" s="13" t="n">
        <v>-0.594301530071658</v>
      </c>
      <c r="AT12" s="13" t="n">
        <v>35.4195631007918</v>
      </c>
      <c r="AU12" s="11" t="n">
        <v>3</v>
      </c>
      <c r="AV12" s="10"/>
      <c r="AW12" s="14" t="s">
        <v>89</v>
      </c>
      <c r="AX12" s="14" t="s">
        <v>90</v>
      </c>
      <c r="AY12" s="10" t="n">
        <v>24.2575220413615</v>
      </c>
      <c r="AZ12" s="10" t="n">
        <v>124.257522041362</v>
      </c>
      <c r="BA12" s="11" t="n">
        <v>2</v>
      </c>
      <c r="BB12" s="14" t="s">
        <v>91</v>
      </c>
      <c r="BC12" s="10"/>
      <c r="BD12" s="11"/>
      <c r="BE12" s="14" t="s">
        <v>92</v>
      </c>
      <c r="BF12" s="10" t="n">
        <v>0.00827793875957248</v>
      </c>
      <c r="BG12" s="11" t="n">
        <v>80</v>
      </c>
      <c r="BH12" s="11" t="n">
        <v>12</v>
      </c>
      <c r="BI12" s="11" t="n">
        <v>12</v>
      </c>
      <c r="BJ12" s="11" t="n">
        <v>0</v>
      </c>
      <c r="BK12" s="10"/>
      <c r="BL12" s="14" t="s">
        <v>93</v>
      </c>
      <c r="BM12" s="15" t="n">
        <f aca="false">(F12-'Ensemble Parameters'!$B$20)/'Ensemble Parameters'!$C$20</f>
        <v>2.36253897555556</v>
      </c>
      <c r="BN12" s="15" t="n">
        <f aca="false">(L12-'Ensemble Parameters'!$B$21)/'Ensemble Parameters'!$C$21</f>
        <v>2.24191732636199</v>
      </c>
      <c r="BO12" s="15" t="n">
        <f aca="false">(S12-'Ensemble Parameters'!$B$22)/'Ensemble Parameters'!$C$22</f>
        <v>2.22348232296476</v>
      </c>
      <c r="BP12" s="15" t="n">
        <f aca="false">(W12-'Ensemble Parameters'!$B$23)/'Ensemble Parameters'!$C$23</f>
        <v>2.21871303032783</v>
      </c>
      <c r="BQ12" s="15" t="n">
        <f aca="false">AVERAGE(BO12:BP12)</f>
        <v>2.2210976766463</v>
      </c>
      <c r="BR12" s="15" t="n">
        <f aca="false">(AQ12-'Ensemble Parameters'!$B$24)/'Ensemble Parameters'!$C$24</f>
        <v>2.39532594307029</v>
      </c>
      <c r="BS12" s="15" t="n">
        <f aca="false">BM12*'Ensemble Parameters'!$B$5+BN12*'Ensemble Parameters'!$B$6+BQ12*'Ensemble Parameters'!$B$8+BR12*'Ensemble Parameters'!$B$7</f>
        <v>2.30521998040853</v>
      </c>
      <c r="BT12" s="16" t="n">
        <f aca="false">'Ensemble Parameters'!$B$11+'Ensemble Parameters'!$B$12*BS12</f>
        <v>123.052199804085</v>
      </c>
      <c r="BU12" s="17" t="n">
        <f aca="false">'Ensemble Parameters'!$B$13*BS12</f>
        <v>32.2730797257195</v>
      </c>
      <c r="BV12" s="18" t="n">
        <f aca="false">RANK(BT12,$BT$5:$BT$125,0)</f>
        <v>2</v>
      </c>
      <c r="BW12" s="15" t="n">
        <f aca="false">STDEV(BM12,BN12,BQ12,BR12)</f>
        <v>0.0865800972346208</v>
      </c>
      <c r="BX12" s="19" t="str">
        <f aca="false">IF(BW12&lt;'Ensemble Parameters'!$B$14,"High",IF(BW12&lt;'Ensemble Parameters'!$B$15,"Moderate","Low"))</f>
        <v>High</v>
      </c>
      <c r="BY12" s="19" t="str">
        <f aca="false">IF(BX12="Low","REVIEW — MODEL DISAGREEMENT","")</f>
        <v/>
      </c>
      <c r="BZ12" s="20" t="n">
        <v>4</v>
      </c>
    </row>
    <row r="13" customFormat="false" ht="15" hidden="false" customHeight="true" outlineLevel="0" collapsed="false">
      <c r="A13" s="7" t="s">
        <v>80</v>
      </c>
      <c r="B13" s="7" t="s">
        <v>108</v>
      </c>
      <c r="C13" s="7" t="s">
        <v>109</v>
      </c>
      <c r="D13" s="7" t="n">
        <v>59</v>
      </c>
      <c r="E13" s="7" t="s">
        <v>109</v>
      </c>
      <c r="F13" s="8" t="n">
        <v>25.39559443</v>
      </c>
      <c r="G13" s="9" t="n">
        <v>46</v>
      </c>
      <c r="H13" s="8" t="n">
        <v>3.96598221570768</v>
      </c>
      <c r="I13" s="8" t="n">
        <v>13.497647782877</v>
      </c>
      <c r="J13" s="7" t="s">
        <v>83</v>
      </c>
      <c r="K13" s="7" t="s">
        <v>84</v>
      </c>
      <c r="L13" s="8" t="n">
        <v>0.145369122661487</v>
      </c>
      <c r="M13" s="8" t="n">
        <v>100.145369122662</v>
      </c>
      <c r="N13" s="9" t="n">
        <v>42</v>
      </c>
      <c r="O13" s="8" t="n">
        <v>0.635295238095238</v>
      </c>
      <c r="P13" s="8" t="n">
        <v>2.16472380952381</v>
      </c>
      <c r="Q13" s="7" t="s">
        <v>85</v>
      </c>
      <c r="R13" s="1" t="s">
        <v>86</v>
      </c>
      <c r="S13" s="10" t="n">
        <v>0.552959</v>
      </c>
      <c r="T13" s="11" t="n">
        <v>34</v>
      </c>
      <c r="U13" s="10" t="n">
        <v>0.554127</v>
      </c>
      <c r="V13" s="11" t="n">
        <v>31</v>
      </c>
      <c r="W13" s="10" t="n">
        <v>0.563665</v>
      </c>
      <c r="X13" s="11" t="n">
        <v>30</v>
      </c>
      <c r="Y13" s="10" t="n">
        <v>0.563881444715</v>
      </c>
      <c r="Z13" s="11" t="n">
        <v>31</v>
      </c>
      <c r="AA13" s="10" t="n">
        <v>0.4449</v>
      </c>
      <c r="AB13" s="10" t="n">
        <v>0.601</v>
      </c>
      <c r="AC13" s="10" t="n">
        <v>0.4942</v>
      </c>
      <c r="AD13" s="10" t="n">
        <v>0.642</v>
      </c>
      <c r="AE13" s="10" t="n">
        <v>1</v>
      </c>
      <c r="AF13" s="10" t="n">
        <v>0.5661</v>
      </c>
      <c r="AG13" s="12" t="n">
        <v>21.46</v>
      </c>
      <c r="AH13" s="11" t="n">
        <v>-3</v>
      </c>
      <c r="AI13" s="1" t="s">
        <v>87</v>
      </c>
      <c r="AJ13" s="12" t="n">
        <v>6.71</v>
      </c>
      <c r="AK13" s="12" t="n">
        <v>6.73</v>
      </c>
      <c r="AL13" s="12" t="n">
        <v>7.43</v>
      </c>
      <c r="AM13" s="13" t="n">
        <v>-6.91281444275407</v>
      </c>
      <c r="AN13" s="11" t="n">
        <v>57</v>
      </c>
      <c r="AO13" s="11" t="n">
        <v>13</v>
      </c>
      <c r="AP13" s="14" t="s">
        <v>88</v>
      </c>
      <c r="AQ13" s="13" t="n">
        <v>-4.83897010992785</v>
      </c>
      <c r="AR13" s="11" t="n">
        <v>57</v>
      </c>
      <c r="AS13" s="13" t="n">
        <v>1.02005565446412</v>
      </c>
      <c r="AT13" s="13" t="n">
        <v>-3.81891445546373</v>
      </c>
      <c r="AU13" s="11" t="n">
        <v>52</v>
      </c>
      <c r="AV13" s="10"/>
      <c r="AW13" s="14" t="s">
        <v>89</v>
      </c>
      <c r="AX13" s="14" t="s">
        <v>90</v>
      </c>
      <c r="AY13" s="10" t="n">
        <v>0.616423668116032</v>
      </c>
      <c r="AZ13" s="10" t="n">
        <v>100.616423668116</v>
      </c>
      <c r="BA13" s="11" t="n">
        <v>39</v>
      </c>
      <c r="BB13" s="14" t="s">
        <v>91</v>
      </c>
      <c r="BC13" s="10"/>
      <c r="BD13" s="11"/>
      <c r="BE13" s="14" t="s">
        <v>92</v>
      </c>
      <c r="BF13" s="10" t="n">
        <v>0.0082680137822058</v>
      </c>
      <c r="BG13" s="11" t="n">
        <v>90</v>
      </c>
      <c r="BH13" s="11" t="n">
        <v>12</v>
      </c>
      <c r="BI13" s="11" t="n">
        <v>12</v>
      </c>
      <c r="BJ13" s="11" t="n">
        <v>0</v>
      </c>
      <c r="BK13" s="10"/>
      <c r="BL13" s="14" t="s">
        <v>93</v>
      </c>
      <c r="BM13" s="15" t="n">
        <f aca="false">(F13-'Ensemble Parameters'!$B$20)/'Ensemble Parameters'!$C$20</f>
        <v>0.0564706354272888</v>
      </c>
      <c r="BN13" s="15" t="n">
        <f aca="false">(L13-'Ensemble Parameters'!$B$21)/'Ensemble Parameters'!$C$21</f>
        <v>0.0152377279936674</v>
      </c>
      <c r="BO13" s="15" t="n">
        <f aca="false">(S13-'Ensemble Parameters'!$B$22)/'Ensemble Parameters'!$C$22</f>
        <v>0.523253696382229</v>
      </c>
      <c r="BP13" s="15" t="n">
        <f aca="false">(W13-'Ensemble Parameters'!$B$23)/'Ensemble Parameters'!$C$23</f>
        <v>0.588384320409085</v>
      </c>
      <c r="BQ13" s="15" t="n">
        <f aca="false">AVERAGE(BO13:BP13)</f>
        <v>0.555819008395657</v>
      </c>
      <c r="BR13" s="15" t="n">
        <f aca="false">(AQ13-'Ensemble Parameters'!$B$24)/'Ensemble Parameters'!$C$24</f>
        <v>-0.315403500570011</v>
      </c>
      <c r="BS13" s="15" t="n">
        <f aca="false">BM13*'Ensemble Parameters'!$B$5+BN13*'Ensemble Parameters'!$B$6+BQ13*'Ensemble Parameters'!$B$8+BR13*'Ensemble Parameters'!$B$7</f>
        <v>0.0780309678116506</v>
      </c>
      <c r="BT13" s="16" t="n">
        <f aca="false">'Ensemble Parameters'!$B$11+'Ensemble Parameters'!$B$12*BS13</f>
        <v>100.780309678117</v>
      </c>
      <c r="BU13" s="17" t="n">
        <f aca="false">'Ensemble Parameters'!$B$13*BS13</f>
        <v>1.09243354936311</v>
      </c>
      <c r="BV13" s="18" t="n">
        <f aca="false">RANK(BT13,$BT$5:$BT$125,0)</f>
        <v>41</v>
      </c>
      <c r="BW13" s="15" t="n">
        <f aca="false">STDEV(BM13,BN13,BQ13,BR13)</f>
        <v>0.359388337565939</v>
      </c>
      <c r="BX13" s="19" t="str">
        <f aca="false">IF(BW13&lt;'Ensemble Parameters'!$B$14,"High",IF(BW13&lt;'Ensemble Parameters'!$B$15,"Moderate","Low"))</f>
        <v>Moderate</v>
      </c>
      <c r="BY13" s="19" t="str">
        <f aca="false">IF(BX13="Low","REVIEW — MODEL DISAGREEMENT","")</f>
        <v/>
      </c>
      <c r="BZ13" s="20" t="n">
        <v>4</v>
      </c>
    </row>
    <row r="14" customFormat="false" ht="15" hidden="false" customHeight="true" outlineLevel="0" collapsed="false">
      <c r="A14" s="7" t="s">
        <v>80</v>
      </c>
      <c r="B14" s="7" t="s">
        <v>110</v>
      </c>
      <c r="C14" s="7" t="s">
        <v>111</v>
      </c>
      <c r="D14" s="7" t="n">
        <v>60</v>
      </c>
      <c r="E14" s="7" t="s">
        <v>111</v>
      </c>
      <c r="F14" s="8" t="n">
        <v>25.686210133</v>
      </c>
      <c r="G14" s="9" t="n">
        <v>42</v>
      </c>
      <c r="H14" s="8" t="n">
        <v>4.02840691929964</v>
      </c>
      <c r="I14" s="8" t="n">
        <v>13.6009893751011</v>
      </c>
      <c r="J14" s="7" t="s">
        <v>83</v>
      </c>
      <c r="K14" s="7" t="s">
        <v>84</v>
      </c>
      <c r="L14" s="8" t="n">
        <v>-2.99391078486293</v>
      </c>
      <c r="M14" s="8" t="n">
        <v>97.0060892151371</v>
      </c>
      <c r="N14" s="9" t="n">
        <v>64</v>
      </c>
      <c r="O14" s="8" t="n">
        <v>0.54992380952381</v>
      </c>
      <c r="P14" s="8" t="n">
        <v>0.798780952380954</v>
      </c>
      <c r="Q14" s="7" t="s">
        <v>85</v>
      </c>
      <c r="R14" s="1" t="s">
        <v>86</v>
      </c>
      <c r="S14" s="10" t="n">
        <v>0.471257</v>
      </c>
      <c r="T14" s="11" t="n">
        <v>54</v>
      </c>
      <c r="U14" s="10" t="n">
        <v>0.457368</v>
      </c>
      <c r="V14" s="11" t="n">
        <v>63</v>
      </c>
      <c r="W14" s="10" t="n">
        <v>0.48696</v>
      </c>
      <c r="X14" s="11" t="n">
        <v>59</v>
      </c>
      <c r="Y14" s="10" t="n">
        <v>0.47167464756</v>
      </c>
      <c r="Z14" s="11" t="n">
        <v>63</v>
      </c>
      <c r="AA14" s="10" t="n">
        <v>0.368</v>
      </c>
      <c r="AB14" s="10" t="n">
        <v>0.4103</v>
      </c>
      <c r="AC14" s="10" t="n">
        <v>0.482</v>
      </c>
      <c r="AD14" s="10" t="n">
        <v>0.706</v>
      </c>
      <c r="AE14" s="10" t="n">
        <v>0.85</v>
      </c>
      <c r="AF14" s="10" t="n">
        <v>0.315</v>
      </c>
      <c r="AG14" s="12" t="n">
        <v>18.61</v>
      </c>
      <c r="AH14" s="11" t="n">
        <v>9</v>
      </c>
      <c r="AI14" s="1" t="s">
        <v>87</v>
      </c>
      <c r="AJ14" s="12" t="n">
        <v>4.38</v>
      </c>
      <c r="AK14" s="12" t="n">
        <v>4.51</v>
      </c>
      <c r="AL14" s="12" t="n">
        <v>4.54</v>
      </c>
      <c r="AM14" s="13" t="n">
        <v>-9.49101450308078</v>
      </c>
      <c r="AN14" s="11" t="n">
        <v>66</v>
      </c>
      <c r="AO14" s="11" t="n">
        <v>13</v>
      </c>
      <c r="AP14" s="14" t="s">
        <v>88</v>
      </c>
      <c r="AQ14" s="13" t="n">
        <v>-6.64371015215654</v>
      </c>
      <c r="AR14" s="11" t="n">
        <v>68</v>
      </c>
      <c r="AS14" s="13" t="n">
        <v>0.126071558365812</v>
      </c>
      <c r="AT14" s="13" t="n">
        <v>-6.51763859379073</v>
      </c>
      <c r="AU14" s="11" t="n">
        <v>70</v>
      </c>
      <c r="AV14" s="10"/>
      <c r="AW14" s="14" t="s">
        <v>89</v>
      </c>
      <c r="AX14" s="14" t="s">
        <v>90</v>
      </c>
      <c r="AY14" s="10" t="n">
        <v>-4.53165623940839</v>
      </c>
      <c r="AZ14" s="10" t="n">
        <v>95.4683437605916</v>
      </c>
      <c r="BA14" s="11" t="n">
        <v>76</v>
      </c>
      <c r="BB14" s="14" t="s">
        <v>91</v>
      </c>
      <c r="BC14" s="10"/>
      <c r="BD14" s="11"/>
      <c r="BE14" s="14" t="s">
        <v>92</v>
      </c>
      <c r="BF14" s="10" t="n">
        <v>0.00827477765342431</v>
      </c>
      <c r="BG14" s="11" t="n">
        <v>84</v>
      </c>
      <c r="BH14" s="11" t="n">
        <v>12</v>
      </c>
      <c r="BI14" s="11" t="n">
        <v>12</v>
      </c>
      <c r="BJ14" s="11" t="n">
        <v>0</v>
      </c>
      <c r="BK14" s="10"/>
      <c r="BL14" s="14" t="s">
        <v>93</v>
      </c>
      <c r="BM14" s="15" t="n">
        <f aca="false">(F14-'Ensemble Parameters'!$B$20)/'Ensemble Parameters'!$C$20</f>
        <v>0.123136494350115</v>
      </c>
      <c r="BN14" s="15" t="n">
        <f aca="false">(L14-'Ensemble Parameters'!$B$21)/'Ensemble Parameters'!$C$21</f>
        <v>-0.313824540877792</v>
      </c>
      <c r="BO14" s="15" t="n">
        <f aca="false">(S14-'Ensemble Parameters'!$B$22)/'Ensemble Parameters'!$C$22</f>
        <v>-0.0465064396635372</v>
      </c>
      <c r="BP14" s="15" t="n">
        <f aca="false">(W14-'Ensemble Parameters'!$B$23)/'Ensemble Parameters'!$C$23</f>
        <v>-0.0126363154073101</v>
      </c>
      <c r="BQ14" s="15" t="n">
        <f aca="false">AVERAGE(BO14:BP14)</f>
        <v>-0.0295713775354236</v>
      </c>
      <c r="BR14" s="15" t="n">
        <f aca="false">(AQ14-'Ensemble Parameters'!$B$24)/'Ensemble Parameters'!$C$24</f>
        <v>-0.435154357557694</v>
      </c>
      <c r="BS14" s="15" t="n">
        <f aca="false">BM14*'Ensemble Parameters'!$B$5+BN14*'Ensemble Parameters'!$B$6+BQ14*'Ensemble Parameters'!$B$8+BR14*'Ensemble Parameters'!$B$7</f>
        <v>-0.163853445405199</v>
      </c>
      <c r="BT14" s="16" t="n">
        <f aca="false">'Ensemble Parameters'!$B$11+'Ensemble Parameters'!$B$12*BS14</f>
        <v>98.361465545948</v>
      </c>
      <c r="BU14" s="17" t="n">
        <f aca="false">'Ensemble Parameters'!$B$13*BS14</f>
        <v>-2.29394823567278</v>
      </c>
      <c r="BV14" s="18" t="n">
        <f aca="false">RANK(BT14,$BT$5:$BT$125,0)</f>
        <v>50</v>
      </c>
      <c r="BW14" s="15" t="n">
        <f aca="false">STDEV(BM14,BN14,BQ14,BR14)</f>
        <v>0.255923434959343</v>
      </c>
      <c r="BX14" s="19" t="str">
        <f aca="false">IF(BW14&lt;'Ensemble Parameters'!$B$14,"High",IF(BW14&lt;'Ensemble Parameters'!$B$15,"Moderate","Low"))</f>
        <v>High</v>
      </c>
      <c r="BY14" s="19" t="str">
        <f aca="false">IF(BX14="Low","REVIEW — MODEL DISAGREEMENT","")</f>
        <v/>
      </c>
      <c r="BZ14" s="20" t="n">
        <v>4</v>
      </c>
    </row>
    <row r="15" customFormat="false" ht="15" hidden="false" customHeight="true" outlineLevel="0" collapsed="false">
      <c r="A15" s="7" t="s">
        <v>80</v>
      </c>
      <c r="B15" s="7" t="s">
        <v>112</v>
      </c>
      <c r="C15" s="7" t="s">
        <v>113</v>
      </c>
      <c r="D15" s="7" t="n">
        <v>61</v>
      </c>
      <c r="E15" s="7" t="s">
        <v>113</v>
      </c>
      <c r="F15" s="8" t="n">
        <v>26.988322259</v>
      </c>
      <c r="G15" s="9" t="n">
        <v>36</v>
      </c>
      <c r="H15" s="8" t="n">
        <v>4.02827686157502</v>
      </c>
      <c r="I15" s="8" t="n">
        <v>14.9034916742749</v>
      </c>
      <c r="J15" s="7" t="s">
        <v>83</v>
      </c>
      <c r="K15" s="7" t="s">
        <v>84</v>
      </c>
      <c r="L15" s="8" t="n">
        <v>3.3608622122313</v>
      </c>
      <c r="M15" s="8" t="n">
        <v>103.360862212231</v>
      </c>
      <c r="N15" s="9" t="n">
        <v>31</v>
      </c>
      <c r="O15" s="8" t="n">
        <v>0.609028571428572</v>
      </c>
      <c r="P15" s="8" t="n">
        <v>1.74445714285714</v>
      </c>
      <c r="Q15" s="7" t="s">
        <v>85</v>
      </c>
      <c r="R15" s="1" t="s">
        <v>86</v>
      </c>
      <c r="S15" s="10" t="n">
        <v>0.564913</v>
      </c>
      <c r="T15" s="11" t="n">
        <v>29</v>
      </c>
      <c r="U15" s="10" t="n">
        <v>0.563658</v>
      </c>
      <c r="V15" s="11" t="n">
        <v>29</v>
      </c>
      <c r="W15" s="10" t="n">
        <v>0.56274</v>
      </c>
      <c r="X15" s="11" t="n">
        <v>33</v>
      </c>
      <c r="Y15" s="10" t="n">
        <v>0.56167866534</v>
      </c>
      <c r="Z15" s="11" t="n">
        <v>29</v>
      </c>
      <c r="AA15" s="10" t="n">
        <v>0.507</v>
      </c>
      <c r="AB15" s="10" t="n">
        <v>0.6527</v>
      </c>
      <c r="AC15" s="10" t="n">
        <v>0.443</v>
      </c>
      <c r="AD15" s="10" t="n">
        <v>0.59</v>
      </c>
      <c r="AE15" s="10" t="n">
        <v>0.85</v>
      </c>
      <c r="AF15" s="10" t="n">
        <v>0.5508</v>
      </c>
      <c r="AG15" s="12" t="n">
        <v>10.84</v>
      </c>
      <c r="AH15" s="11" t="n">
        <v>0</v>
      </c>
      <c r="AI15" s="1" t="s">
        <v>87</v>
      </c>
      <c r="AJ15" s="12" t="n">
        <v>6.76</v>
      </c>
      <c r="AK15" s="12" t="n">
        <v>6.55</v>
      </c>
      <c r="AL15" s="12" t="n">
        <v>6.88</v>
      </c>
      <c r="AM15" s="13" t="n">
        <v>3.29650673105574</v>
      </c>
      <c r="AN15" s="11" t="n">
        <v>34</v>
      </c>
      <c r="AO15" s="11" t="n">
        <v>13</v>
      </c>
      <c r="AP15" s="14" t="s">
        <v>88</v>
      </c>
      <c r="AQ15" s="13" t="n">
        <v>2.30755471173902</v>
      </c>
      <c r="AR15" s="11" t="n">
        <v>34</v>
      </c>
      <c r="AS15" s="13" t="n">
        <v>0.258048747154878</v>
      </c>
      <c r="AT15" s="13" t="n">
        <v>2.5656034588939</v>
      </c>
      <c r="AU15" s="11" t="n">
        <v>34</v>
      </c>
      <c r="AV15" s="10"/>
      <c r="AW15" s="14" t="s">
        <v>89</v>
      </c>
      <c r="AX15" s="14" t="s">
        <v>90</v>
      </c>
      <c r="AY15" s="10" t="n">
        <v>3.70951675768585</v>
      </c>
      <c r="AZ15" s="10" t="n">
        <v>103.709516757686</v>
      </c>
      <c r="BA15" s="11" t="n">
        <v>34</v>
      </c>
      <c r="BB15" s="14" t="s">
        <v>91</v>
      </c>
      <c r="BC15" s="10"/>
      <c r="BD15" s="11"/>
      <c r="BE15" s="14" t="s">
        <v>92</v>
      </c>
      <c r="BF15" s="10" t="n">
        <v>0.00828243146081451</v>
      </c>
      <c r="BG15" s="11" t="n">
        <v>68</v>
      </c>
      <c r="BH15" s="11" t="n">
        <v>12</v>
      </c>
      <c r="BI15" s="11" t="n">
        <v>12</v>
      </c>
      <c r="BJ15" s="11" t="n">
        <v>0</v>
      </c>
      <c r="BK15" s="10"/>
      <c r="BL15" s="14" t="s">
        <v>93</v>
      </c>
      <c r="BM15" s="15" t="n">
        <f aca="false">(F15-'Ensemble Parameters'!$B$20)/'Ensemble Parameters'!$C$20</f>
        <v>0.421834817935256</v>
      </c>
      <c r="BN15" s="15" t="n">
        <f aca="false">(L15-'Ensemble Parameters'!$B$21)/'Ensemble Parameters'!$C$21</f>
        <v>0.352288734199973</v>
      </c>
      <c r="BO15" s="15" t="n">
        <f aca="false">(S15-'Ensemble Parameters'!$B$22)/'Ensemble Parameters'!$C$22</f>
        <v>0.606616559791829</v>
      </c>
      <c r="BP15" s="15" t="n">
        <f aca="false">(W15-'Ensemble Parameters'!$B$23)/'Ensemble Parameters'!$C$23</f>
        <v>0.58113649969166</v>
      </c>
      <c r="BQ15" s="15" t="n">
        <f aca="false">AVERAGE(BO15:BP15)</f>
        <v>0.593876529741744</v>
      </c>
      <c r="BR15" s="15" t="n">
        <f aca="false">(AQ15-'Ensemble Parameters'!$B$24)/'Ensemble Parameters'!$C$24</f>
        <v>0.158793587018026</v>
      </c>
      <c r="BS15" s="15" t="n">
        <f aca="false">BM15*'Ensemble Parameters'!$B$5+BN15*'Ensemble Parameters'!$B$6+BQ15*'Ensemble Parameters'!$B$8+BR15*'Ensemble Parameters'!$B$7</f>
        <v>0.38169841722375</v>
      </c>
      <c r="BT15" s="16" t="n">
        <f aca="false">'Ensemble Parameters'!$B$11+'Ensemble Parameters'!$B$12*BS15</f>
        <v>103.816984172238</v>
      </c>
      <c r="BU15" s="17" t="n">
        <f aca="false">'Ensemble Parameters'!$B$13*BS15</f>
        <v>5.3437778411325</v>
      </c>
      <c r="BV15" s="18" t="n">
        <f aca="false">RANK(BT15,$BT$5:$BT$125,0)</f>
        <v>32</v>
      </c>
      <c r="BW15" s="15" t="n">
        <f aca="false">STDEV(BM15,BN15,BQ15,BR15)</f>
        <v>0.179983309298737</v>
      </c>
      <c r="BX15" s="19" t="str">
        <f aca="false">IF(BW15&lt;'Ensemble Parameters'!$B$14,"High",IF(BW15&lt;'Ensemble Parameters'!$B$15,"Moderate","Low"))</f>
        <v>High</v>
      </c>
      <c r="BY15" s="19" t="str">
        <f aca="false">IF(BX15="Low","REVIEW — MODEL DISAGREEMENT","")</f>
        <v/>
      </c>
      <c r="BZ15" s="20" t="n">
        <v>4</v>
      </c>
    </row>
    <row r="16" customFormat="false" ht="15" hidden="false" customHeight="true" outlineLevel="0" collapsed="false">
      <c r="A16" s="7" t="s">
        <v>80</v>
      </c>
      <c r="B16" s="7" t="s">
        <v>114</v>
      </c>
      <c r="C16" s="7" t="s">
        <v>114</v>
      </c>
      <c r="D16" s="7" t="n">
        <v>62</v>
      </c>
      <c r="E16" s="7" t="s">
        <v>114</v>
      </c>
      <c r="F16" s="8" t="n">
        <v>28.816608306</v>
      </c>
      <c r="G16" s="9" t="n">
        <v>25</v>
      </c>
      <c r="H16" s="8" t="n">
        <v>4.17449197929428</v>
      </c>
      <c r="I16" s="8" t="n">
        <v>16.2931323681172</v>
      </c>
      <c r="J16" s="7" t="s">
        <v>83</v>
      </c>
      <c r="K16" s="7" t="s">
        <v>84</v>
      </c>
      <c r="L16" s="8" t="n">
        <v>4.78999037268424</v>
      </c>
      <c r="M16" s="8" t="n">
        <v>104.789990372684</v>
      </c>
      <c r="N16" s="9" t="n">
        <v>30</v>
      </c>
      <c r="O16" s="8" t="n">
        <v>0.690504761904762</v>
      </c>
      <c r="P16" s="8" t="n">
        <v>3.04807619047619</v>
      </c>
      <c r="Q16" s="7" t="s">
        <v>85</v>
      </c>
      <c r="R16" s="1" t="s">
        <v>86</v>
      </c>
      <c r="S16" s="10" t="n">
        <v>0.622525</v>
      </c>
      <c r="T16" s="11" t="n">
        <v>23</v>
      </c>
      <c r="U16" s="10" t="n">
        <v>0.626309</v>
      </c>
      <c r="V16" s="11" t="n">
        <v>23</v>
      </c>
      <c r="W16" s="10" t="n">
        <v>0.62634</v>
      </c>
      <c r="X16" s="11" t="n">
        <v>21</v>
      </c>
      <c r="Y16" s="10" t="n">
        <v>0.62978533764</v>
      </c>
      <c r="Z16" s="11" t="n">
        <v>23</v>
      </c>
      <c r="AA16" s="10" t="n">
        <v>0.5333</v>
      </c>
      <c r="AB16" s="10" t="n">
        <v>0.6728</v>
      </c>
      <c r="AC16" s="10" t="n">
        <v>0.5217</v>
      </c>
      <c r="AD16" s="10" t="n">
        <v>0.747</v>
      </c>
      <c r="AE16" s="10" t="n">
        <v>1</v>
      </c>
      <c r="AF16" s="10" t="n">
        <v>0.6651</v>
      </c>
      <c r="AG16" s="12" t="n">
        <v>28.66</v>
      </c>
      <c r="AH16" s="11" t="n">
        <v>0</v>
      </c>
      <c r="AI16" s="1" t="s">
        <v>87</v>
      </c>
      <c r="AJ16" s="12" t="n">
        <v>8.16</v>
      </c>
      <c r="AK16" s="12" t="n">
        <v>8.06</v>
      </c>
      <c r="AL16" s="12" t="n">
        <v>8.38</v>
      </c>
      <c r="AM16" s="13" t="n">
        <v>3.74962016821134</v>
      </c>
      <c r="AN16" s="11" t="n">
        <v>33</v>
      </c>
      <c r="AO16" s="11" t="n">
        <v>13</v>
      </c>
      <c r="AP16" s="14" t="s">
        <v>88</v>
      </c>
      <c r="AQ16" s="13" t="n">
        <v>2.62473411774794</v>
      </c>
      <c r="AR16" s="11" t="n">
        <v>33</v>
      </c>
      <c r="AS16" s="13" t="n">
        <v>1.44580394190285</v>
      </c>
      <c r="AT16" s="13" t="n">
        <v>4.07053805965079</v>
      </c>
      <c r="AU16" s="11" t="n">
        <v>30</v>
      </c>
      <c r="AV16" s="10"/>
      <c r="AW16" s="14" t="s">
        <v>89</v>
      </c>
      <c r="AX16" s="14" t="s">
        <v>90</v>
      </c>
      <c r="AY16" s="10" t="n">
        <v>6.05304491813879</v>
      </c>
      <c r="AZ16" s="10" t="n">
        <v>106.053044918139</v>
      </c>
      <c r="BA16" s="11" t="n">
        <v>29</v>
      </c>
      <c r="BB16" s="14" t="s">
        <v>91</v>
      </c>
      <c r="BC16" s="10"/>
      <c r="BD16" s="11"/>
      <c r="BE16" s="14" t="s">
        <v>92</v>
      </c>
      <c r="BF16" s="10" t="n">
        <v>0.00828007119336076</v>
      </c>
      <c r="BG16" s="11" t="n">
        <v>77</v>
      </c>
      <c r="BH16" s="11" t="n">
        <v>12</v>
      </c>
      <c r="BI16" s="11" t="n">
        <v>12</v>
      </c>
      <c r="BJ16" s="11" t="n">
        <v>0</v>
      </c>
      <c r="BK16" s="10"/>
      <c r="BL16" s="14" t="s">
        <v>93</v>
      </c>
      <c r="BM16" s="15" t="n">
        <f aca="false">(F16-'Ensemble Parameters'!$B$20)/'Ensemble Parameters'!$C$20</f>
        <v>0.841234934383449</v>
      </c>
      <c r="BN16" s="15" t="n">
        <f aca="false">(L16-'Ensemble Parameters'!$B$21)/'Ensemble Parameters'!$C$21</f>
        <v>0.502091290467594</v>
      </c>
      <c r="BO16" s="15" t="n">
        <f aca="false">(S16-'Ensemble Parameters'!$B$22)/'Ensemble Parameters'!$C$22</f>
        <v>1.00838176698221</v>
      </c>
      <c r="BP16" s="15" t="n">
        <f aca="false">(W16-'Ensemble Parameters'!$B$23)/'Ensemble Parameters'!$C$23</f>
        <v>1.07947314577631</v>
      </c>
      <c r="BQ16" s="15" t="n">
        <f aca="false">AVERAGE(BO16:BP16)</f>
        <v>1.04392745637926</v>
      </c>
      <c r="BR16" s="15" t="n">
        <f aca="false">(AQ16-'Ensemble Parameters'!$B$24)/'Ensemble Parameters'!$C$24</f>
        <v>0.179839557517748</v>
      </c>
      <c r="BS16" s="15" t="n">
        <f aca="false">BM16*'Ensemble Parameters'!$B$5+BN16*'Ensemble Parameters'!$B$6+BQ16*'Ensemble Parameters'!$B$8+BR16*'Ensemble Parameters'!$B$7</f>
        <v>0.641773309687013</v>
      </c>
      <c r="BT16" s="16" t="n">
        <f aca="false">'Ensemble Parameters'!$B$11+'Ensemble Parameters'!$B$12*BS16</f>
        <v>106.41773309687</v>
      </c>
      <c r="BU16" s="17" t="n">
        <f aca="false">'Ensemble Parameters'!$B$13*BS16</f>
        <v>8.98482633561818</v>
      </c>
      <c r="BV16" s="18" t="n">
        <f aca="false">RANK(BT16,$BT$5:$BT$125,0)</f>
        <v>30</v>
      </c>
      <c r="BW16" s="15" t="n">
        <f aca="false">STDEV(BM16,BN16,BQ16,BR16)</f>
        <v>0.380528910559456</v>
      </c>
      <c r="BX16" s="19" t="str">
        <f aca="false">IF(BW16&lt;'Ensemble Parameters'!$B$14,"High",IF(BW16&lt;'Ensemble Parameters'!$B$15,"Moderate","Low"))</f>
        <v>Moderate</v>
      </c>
      <c r="BY16" s="19" t="str">
        <f aca="false">IF(BX16="Low","REVIEW — MODEL DISAGREEMENT","")</f>
        <v/>
      </c>
      <c r="BZ16" s="20" t="n">
        <v>4</v>
      </c>
    </row>
    <row r="17" customFormat="false" ht="15" hidden="false" customHeight="true" outlineLevel="0" collapsed="false">
      <c r="A17" s="7" t="s">
        <v>80</v>
      </c>
      <c r="B17" s="7" t="s">
        <v>115</v>
      </c>
      <c r="C17" s="7" t="s">
        <v>116</v>
      </c>
      <c r="D17" s="7" t="n">
        <v>63</v>
      </c>
      <c r="E17" s="7" t="s">
        <v>116</v>
      </c>
      <c r="F17" s="8" t="n">
        <v>22.903746428</v>
      </c>
      <c r="G17" s="9" t="n">
        <v>73</v>
      </c>
      <c r="H17" s="8" t="n">
        <v>4.12235592097644</v>
      </c>
      <c r="I17" s="8" t="n">
        <v>10.5366786650707</v>
      </c>
      <c r="J17" s="7" t="s">
        <v>83</v>
      </c>
      <c r="K17" s="7" t="s">
        <v>84</v>
      </c>
      <c r="L17" s="8" t="n">
        <v>-5.23360869245284</v>
      </c>
      <c r="M17" s="8" t="n">
        <v>94.7663913075472</v>
      </c>
      <c r="N17" s="9" t="n">
        <v>84</v>
      </c>
      <c r="O17" s="8" t="n">
        <v>0.492952380952381</v>
      </c>
      <c r="P17" s="8" t="n">
        <v>-0.112761904761904</v>
      </c>
      <c r="Q17" s="7" t="s">
        <v>85</v>
      </c>
      <c r="R17" s="1" t="s">
        <v>86</v>
      </c>
      <c r="S17" s="10" t="n">
        <v>0.391862</v>
      </c>
      <c r="T17" s="11" t="n">
        <v>89</v>
      </c>
      <c r="U17" s="10" t="n">
        <v>0.378603</v>
      </c>
      <c r="V17" s="11" t="n">
        <v>81</v>
      </c>
      <c r="W17" s="10" t="n">
        <v>0.400155</v>
      </c>
      <c r="X17" s="11" t="n">
        <v>92</v>
      </c>
      <c r="Y17" s="10" t="n">
        <v>0.386158982505</v>
      </c>
      <c r="Z17" s="11" t="n">
        <v>81</v>
      </c>
      <c r="AA17" s="10" t="n">
        <v>0.2592</v>
      </c>
      <c r="AB17" s="10" t="n">
        <v>0.5343</v>
      </c>
      <c r="AC17" s="10" t="n">
        <v>0.4251</v>
      </c>
      <c r="AD17" s="10" t="n">
        <v>0.638</v>
      </c>
      <c r="AE17" s="10" t="n">
        <v>0.325</v>
      </c>
      <c r="AF17" s="10" t="n">
        <v>0.2427</v>
      </c>
      <c r="AG17" s="12" t="n">
        <v>7.96</v>
      </c>
      <c r="AH17" s="11" t="n">
        <v>-8</v>
      </c>
      <c r="AI17" s="1" t="s">
        <v>87</v>
      </c>
      <c r="AJ17" s="12" t="n">
        <v>3.13</v>
      </c>
      <c r="AK17" s="12" t="n">
        <v>3.16</v>
      </c>
      <c r="AL17" s="12" t="n">
        <v>2.64</v>
      </c>
      <c r="AM17" s="13" t="n">
        <v>-11.6986263534622</v>
      </c>
      <c r="AN17" s="11" t="n">
        <v>80</v>
      </c>
      <c r="AO17" s="11" t="n">
        <v>12</v>
      </c>
      <c r="AP17" s="14" t="s">
        <v>88</v>
      </c>
      <c r="AQ17" s="13" t="n">
        <v>-8.18903844742351</v>
      </c>
      <c r="AR17" s="11" t="n">
        <v>82</v>
      </c>
      <c r="AS17" s="13" t="n">
        <v>-0.626097104625791</v>
      </c>
      <c r="AT17" s="13" t="n">
        <v>-8.8151355520493</v>
      </c>
      <c r="AU17" s="11" t="n">
        <v>85</v>
      </c>
      <c r="AV17" s="10"/>
      <c r="AW17" s="14" t="s">
        <v>89</v>
      </c>
      <c r="AX17" s="14" t="s">
        <v>90</v>
      </c>
      <c r="AY17" s="10" t="n">
        <v>-7.3497541469983</v>
      </c>
      <c r="AZ17" s="10" t="n">
        <v>92.6502458530017</v>
      </c>
      <c r="BA17" s="11" t="n">
        <v>90</v>
      </c>
      <c r="BB17" s="14" t="s">
        <v>91</v>
      </c>
      <c r="BC17" s="10"/>
      <c r="BD17" s="11"/>
      <c r="BE17" s="14" t="s">
        <v>92</v>
      </c>
      <c r="BF17" s="10" t="n">
        <v>0.00828155568238685</v>
      </c>
      <c r="BG17" s="11" t="n">
        <v>72</v>
      </c>
      <c r="BH17" s="11" t="n">
        <v>12</v>
      </c>
      <c r="BI17" s="11" t="n">
        <v>12</v>
      </c>
      <c r="BJ17" s="11" t="n">
        <v>0</v>
      </c>
      <c r="BK17" s="10"/>
      <c r="BL17" s="14" t="s">
        <v>93</v>
      </c>
      <c r="BM17" s="15" t="n">
        <f aca="false">(F17-'Ensemble Parameters'!$B$20)/'Ensemble Parameters'!$C$20</f>
        <v>-0.515147434909599</v>
      </c>
      <c r="BN17" s="15" t="n">
        <f aca="false">(L17-'Ensemble Parameters'!$B$21)/'Ensemble Parameters'!$C$21</f>
        <v>-0.548591779470219</v>
      </c>
      <c r="BO17" s="15" t="n">
        <f aca="false">(S17-'Ensemble Parameters'!$B$22)/'Ensemble Parameters'!$C$22</f>
        <v>-0.600178393855033</v>
      </c>
      <c r="BP17" s="15" t="n">
        <f aca="false">(W17-'Ensemble Parameters'!$B$23)/'Ensemble Parameters'!$C$23</f>
        <v>-0.692795317976142</v>
      </c>
      <c r="BQ17" s="15" t="n">
        <f aca="false">AVERAGE(BO17:BP17)</f>
        <v>-0.646486855915588</v>
      </c>
      <c r="BR17" s="15" t="n">
        <f aca="false">(AQ17-'Ensemble Parameters'!$B$24)/'Ensemble Parameters'!$C$24</f>
        <v>-0.537692331645646</v>
      </c>
      <c r="BS17" s="15" t="n">
        <f aca="false">BM17*'Ensemble Parameters'!$B$5+BN17*'Ensemble Parameters'!$B$6+BQ17*'Ensemble Parameters'!$B$8+BR17*'Ensemble Parameters'!$B$7</f>
        <v>-0.561979600485263</v>
      </c>
      <c r="BT17" s="16" t="n">
        <f aca="false">'Ensemble Parameters'!$B$11+'Ensemble Parameters'!$B$12*BS17</f>
        <v>94.3802039951474</v>
      </c>
      <c r="BU17" s="17" t="n">
        <f aca="false">'Ensemble Parameters'!$B$13*BS17</f>
        <v>-7.86771440679368</v>
      </c>
      <c r="BV17" s="18" t="n">
        <f aca="false">RANK(BT17,$BT$5:$BT$125,0)</f>
        <v>78</v>
      </c>
      <c r="BW17" s="15" t="n">
        <f aca="false">STDEV(BM17,BN17,BQ17,BR17)</f>
        <v>0.0580339932915507</v>
      </c>
      <c r="BX17" s="19" t="str">
        <f aca="false">IF(BW17&lt;'Ensemble Parameters'!$B$14,"High",IF(BW17&lt;'Ensemble Parameters'!$B$15,"Moderate","Low"))</f>
        <v>High</v>
      </c>
      <c r="BY17" s="19" t="str">
        <f aca="false">IF(BX17="Low","REVIEW — MODEL DISAGREEMENT","")</f>
        <v/>
      </c>
      <c r="BZ17" s="20" t="n">
        <v>4</v>
      </c>
    </row>
    <row r="18" customFormat="false" ht="15" hidden="false" customHeight="true" outlineLevel="0" collapsed="false">
      <c r="A18" s="7" t="s">
        <v>80</v>
      </c>
      <c r="B18" s="7" t="s">
        <v>117</v>
      </c>
      <c r="C18" s="7" t="s">
        <v>118</v>
      </c>
      <c r="D18" s="7" t="n">
        <v>64</v>
      </c>
      <c r="E18" s="7" t="s">
        <v>118</v>
      </c>
      <c r="F18" s="8" t="n">
        <v>21.69804806</v>
      </c>
      <c r="G18" s="9" t="n">
        <v>93</v>
      </c>
      <c r="H18" s="8" t="n">
        <v>4.27142126154545</v>
      </c>
      <c r="I18" s="8" t="n">
        <v>8.88378427536364</v>
      </c>
      <c r="J18" s="7" t="s">
        <v>83</v>
      </c>
      <c r="K18" s="7" t="s">
        <v>84</v>
      </c>
      <c r="L18" s="8" t="n">
        <v>-1.73999956297377</v>
      </c>
      <c r="M18" s="8" t="n">
        <v>98.2600004370262</v>
      </c>
      <c r="N18" s="9" t="n">
        <v>50</v>
      </c>
      <c r="O18" s="8" t="n">
        <v>0.646019047619048</v>
      </c>
      <c r="P18" s="8" t="n">
        <v>2.33630476190476</v>
      </c>
      <c r="Q18" s="7" t="s">
        <v>85</v>
      </c>
      <c r="R18" s="1" t="s">
        <v>86</v>
      </c>
      <c r="S18" s="10" t="n">
        <v>0.483504</v>
      </c>
      <c r="T18" s="11" t="n">
        <v>50</v>
      </c>
      <c r="U18" s="10" t="n">
        <v>0.470961</v>
      </c>
      <c r="V18" s="11" t="n">
        <v>51</v>
      </c>
      <c r="W18" s="10" t="n">
        <v>0.50276</v>
      </c>
      <c r="X18" s="11" t="n">
        <v>48</v>
      </c>
      <c r="Y18" s="10" t="n">
        <v>0.48850575996</v>
      </c>
      <c r="Z18" s="11" t="n">
        <v>51</v>
      </c>
      <c r="AA18" s="10" t="n">
        <v>0.2702</v>
      </c>
      <c r="AB18" s="10" t="n">
        <v>0.6727</v>
      </c>
      <c r="AC18" s="10" t="n">
        <v>0.4778</v>
      </c>
      <c r="AD18" s="10" t="n">
        <v>0.692</v>
      </c>
      <c r="AE18" s="10" t="n">
        <v>0.85</v>
      </c>
      <c r="AF18" s="10" t="n">
        <v>0.3424</v>
      </c>
      <c r="AG18" s="12" t="n">
        <v>17.67</v>
      </c>
      <c r="AH18" s="11" t="n">
        <v>1</v>
      </c>
      <c r="AI18" s="1" t="s">
        <v>87</v>
      </c>
      <c r="AJ18" s="12" t="n">
        <v>5.33</v>
      </c>
      <c r="AK18" s="12" t="n">
        <v>5.49</v>
      </c>
      <c r="AL18" s="12" t="n">
        <v>6.25</v>
      </c>
      <c r="AM18" s="13" t="n">
        <v>-10.2633181936964</v>
      </c>
      <c r="AN18" s="11" t="n">
        <v>73</v>
      </c>
      <c r="AO18" s="11" t="n">
        <v>12</v>
      </c>
      <c r="AP18" s="14" t="s">
        <v>88</v>
      </c>
      <c r="AQ18" s="13" t="n">
        <v>-7.18432273558748</v>
      </c>
      <c r="AR18" s="11" t="n">
        <v>75</v>
      </c>
      <c r="AS18" s="13" t="n">
        <v>1.6647008332432</v>
      </c>
      <c r="AT18" s="13" t="n">
        <v>-5.51962190234428</v>
      </c>
      <c r="AU18" s="11" t="n">
        <v>59</v>
      </c>
      <c r="AV18" s="10"/>
      <c r="AW18" s="14" t="s">
        <v>89</v>
      </c>
      <c r="AX18" s="14" t="s">
        <v>90</v>
      </c>
      <c r="AY18" s="10" t="n">
        <v>-3.05854501751922</v>
      </c>
      <c r="AZ18" s="10" t="n">
        <v>96.9414549824808</v>
      </c>
      <c r="BA18" s="11" t="n">
        <v>63</v>
      </c>
      <c r="BB18" s="14" t="s">
        <v>91</v>
      </c>
      <c r="BC18" s="10"/>
      <c r="BD18" s="11"/>
      <c r="BE18" s="14" t="s">
        <v>92</v>
      </c>
      <c r="BF18" s="10" t="n">
        <v>0.00828091352114998</v>
      </c>
      <c r="BG18" s="11" t="n">
        <v>74</v>
      </c>
      <c r="BH18" s="11" t="n">
        <v>12</v>
      </c>
      <c r="BI18" s="11" t="n">
        <v>12</v>
      </c>
      <c r="BJ18" s="11" t="n">
        <v>0</v>
      </c>
      <c r="BK18" s="10"/>
      <c r="BL18" s="14" t="s">
        <v>93</v>
      </c>
      <c r="BM18" s="15" t="n">
        <f aca="false">(F18-'Ensemble Parameters'!$B$20)/'Ensemble Parameters'!$C$20</f>
        <v>-0.79172890134388</v>
      </c>
      <c r="BN18" s="15" t="n">
        <f aca="false">(L18-'Ensemble Parameters'!$B$21)/'Ensemble Parameters'!$C$21</f>
        <v>-0.182388388705044</v>
      </c>
      <c r="BO18" s="15" t="n">
        <f aca="false">(S18-'Ensemble Parameters'!$B$22)/'Ensemble Parameters'!$C$22</f>
        <v>0.0388996995515677</v>
      </c>
      <c r="BP18" s="15" t="n">
        <f aca="false">(W18-'Ensemble Parameters'!$B$23)/'Ensemble Parameters'!$C$23</f>
        <v>0.111164297928184</v>
      </c>
      <c r="BQ18" s="15" t="n">
        <f aca="false">AVERAGE(BO18:BP18)</f>
        <v>0.0750319987398757</v>
      </c>
      <c r="BR18" s="15" t="n">
        <f aca="false">(AQ18-'Ensemble Parameters'!$B$24)/'Ensemble Parameters'!$C$24</f>
        <v>-0.471025906173767</v>
      </c>
      <c r="BS18" s="15" t="n">
        <f aca="false">BM18*'Ensemble Parameters'!$B$5+BN18*'Ensemble Parameters'!$B$6+BQ18*'Ensemble Parameters'!$B$8+BR18*'Ensemble Parameters'!$B$7</f>
        <v>-0.342527799370704</v>
      </c>
      <c r="BT18" s="16" t="n">
        <f aca="false">'Ensemble Parameters'!$B$11+'Ensemble Parameters'!$B$12*BS18</f>
        <v>96.574722006293</v>
      </c>
      <c r="BU18" s="17" t="n">
        <f aca="false">'Ensemble Parameters'!$B$13*BS18</f>
        <v>-4.79538919118985</v>
      </c>
      <c r="BV18" s="18" t="n">
        <f aca="false">RANK(BT18,$BT$5:$BT$125,0)</f>
        <v>63</v>
      </c>
      <c r="BW18" s="15" t="n">
        <f aca="false">STDEV(BM18,BN18,BQ18,BR18)</f>
        <v>0.373405146060049</v>
      </c>
      <c r="BX18" s="19" t="str">
        <f aca="false">IF(BW18&lt;'Ensemble Parameters'!$B$14,"High",IF(BW18&lt;'Ensemble Parameters'!$B$15,"Moderate","Low"))</f>
        <v>Moderate</v>
      </c>
      <c r="BY18" s="19" t="str">
        <f aca="false">IF(BX18="Low","REVIEW — MODEL DISAGREEMENT","")</f>
        <v/>
      </c>
      <c r="BZ18" s="20" t="n">
        <v>4</v>
      </c>
    </row>
    <row r="19" customFormat="false" ht="15" hidden="false" customHeight="true" outlineLevel="0" collapsed="false">
      <c r="A19" s="7" t="s">
        <v>80</v>
      </c>
      <c r="B19" s="7" t="s">
        <v>119</v>
      </c>
      <c r="C19" s="7" t="s">
        <v>120</v>
      </c>
      <c r="D19" s="7" t="n">
        <v>65</v>
      </c>
      <c r="E19" s="7" t="s">
        <v>120</v>
      </c>
      <c r="F19" s="8" t="n">
        <v>32.395870111</v>
      </c>
      <c r="G19" s="9" t="n">
        <v>12</v>
      </c>
      <c r="H19" s="8" t="n">
        <v>4.20302983185393</v>
      </c>
      <c r="I19" s="8" t="n">
        <v>19.7867806154382</v>
      </c>
      <c r="J19" s="7" t="s">
        <v>83</v>
      </c>
      <c r="K19" s="7" t="s">
        <v>84</v>
      </c>
      <c r="L19" s="8" t="n">
        <v>16.0400484468749</v>
      </c>
      <c r="M19" s="8" t="n">
        <v>116.040048446875</v>
      </c>
      <c r="N19" s="9" t="n">
        <v>13</v>
      </c>
      <c r="O19" s="8" t="n">
        <v>0.596038095238095</v>
      </c>
      <c r="P19" s="8" t="n">
        <v>1.53660952380953</v>
      </c>
      <c r="Q19" s="7" t="s">
        <v>85</v>
      </c>
      <c r="R19" s="1" t="s">
        <v>86</v>
      </c>
      <c r="S19" s="10" t="n">
        <v>0.712825</v>
      </c>
      <c r="T19" s="11" t="n">
        <v>15</v>
      </c>
      <c r="U19" s="10" t="n">
        <v>0.698316</v>
      </c>
      <c r="V19" s="11" t="n">
        <v>15</v>
      </c>
      <c r="W19" s="10" t="n">
        <v>0.692615</v>
      </c>
      <c r="X19" s="11" t="n">
        <v>15</v>
      </c>
      <c r="Y19" s="10" t="n">
        <v>0.679902539665</v>
      </c>
      <c r="Z19" s="11" t="n">
        <v>15</v>
      </c>
      <c r="AA19" s="10" t="n">
        <v>0.8661</v>
      </c>
      <c r="AB19" s="10" t="n">
        <v>0.5229</v>
      </c>
      <c r="AC19" s="10" t="n">
        <v>0.5156</v>
      </c>
      <c r="AD19" s="10" t="n">
        <v>0.56</v>
      </c>
      <c r="AE19" s="10" t="n">
        <v>1</v>
      </c>
      <c r="AF19" s="10" t="n">
        <v>0.5496</v>
      </c>
      <c r="AG19" s="12" t="n">
        <v>26.98</v>
      </c>
      <c r="AH19" s="11" t="n">
        <v>0</v>
      </c>
      <c r="AI19" s="1" t="s">
        <v>87</v>
      </c>
      <c r="AJ19" s="12" t="n">
        <v>9.74</v>
      </c>
      <c r="AK19" s="12" t="n">
        <v>9.26</v>
      </c>
      <c r="AL19" s="12" t="n">
        <v>8.41</v>
      </c>
      <c r="AM19" s="13" t="n">
        <v>39.2913400502361</v>
      </c>
      <c r="AN19" s="11" t="n">
        <v>12</v>
      </c>
      <c r="AO19" s="11" t="n">
        <v>14</v>
      </c>
      <c r="AP19" s="14" t="s">
        <v>88</v>
      </c>
      <c r="AQ19" s="13" t="n">
        <v>27.5039380351653</v>
      </c>
      <c r="AR19" s="11" t="n">
        <v>12</v>
      </c>
      <c r="AS19" s="13" t="n">
        <v>-0.956488640942522</v>
      </c>
      <c r="AT19" s="13" t="n">
        <v>26.5474493942227</v>
      </c>
      <c r="AU19" s="11" t="n">
        <v>12</v>
      </c>
      <c r="AV19" s="10"/>
      <c r="AW19" s="14" t="s">
        <v>89</v>
      </c>
      <c r="AX19" s="14" t="s">
        <v>90</v>
      </c>
      <c r="AY19" s="10" t="n">
        <v>16.3791029923295</v>
      </c>
      <c r="AZ19" s="10" t="n">
        <v>116.37910299233</v>
      </c>
      <c r="BA19" s="11" t="n">
        <v>16</v>
      </c>
      <c r="BB19" s="14" t="s">
        <v>91</v>
      </c>
      <c r="BC19" s="10"/>
      <c r="BD19" s="11"/>
      <c r="BE19" s="14" t="s">
        <v>92</v>
      </c>
      <c r="BF19" s="10" t="n">
        <v>0.00827530394084394</v>
      </c>
      <c r="BG19" s="11" t="n">
        <v>83</v>
      </c>
      <c r="BH19" s="11" t="n">
        <v>12</v>
      </c>
      <c r="BI19" s="11" t="n">
        <v>12</v>
      </c>
      <c r="BJ19" s="11" t="n">
        <v>0</v>
      </c>
      <c r="BK19" s="10"/>
      <c r="BL19" s="14" t="s">
        <v>93</v>
      </c>
      <c r="BM19" s="15" t="n">
        <f aca="false">(F19-'Ensemble Parameters'!$B$20)/'Ensemble Parameters'!$C$20</f>
        <v>1.6623005549841</v>
      </c>
      <c r="BN19" s="15" t="n">
        <f aca="false">(L19-'Ensemble Parameters'!$B$21)/'Ensemble Parameters'!$C$21</f>
        <v>1.68133294584078</v>
      </c>
      <c r="BO19" s="15" t="n">
        <f aca="false">(S19-'Ensemble Parameters'!$B$22)/'Ensemble Parameters'!$C$22</f>
        <v>1.63810123878134</v>
      </c>
      <c r="BP19" s="15" t="n">
        <f aca="false">(W19-'Ensemble Parameters'!$B$23)/'Ensemble Parameters'!$C$23</f>
        <v>1.59876970582756</v>
      </c>
      <c r="BQ19" s="15" t="n">
        <f aca="false">AVERAGE(BO19:BP19)</f>
        <v>1.61843547230445</v>
      </c>
      <c r="BR19" s="15" t="n">
        <f aca="false">(AQ19-'Ensemble Parameters'!$B$24)/'Ensemble Parameters'!$C$24</f>
        <v>1.83066234671174</v>
      </c>
      <c r="BS19" s="15" t="n">
        <f aca="false">BM19*'Ensemble Parameters'!$B$5+BN19*'Ensemble Parameters'!$B$6+BQ19*'Ensemble Parameters'!$B$8+BR19*'Ensemble Parameters'!$B$7</f>
        <v>1.69818282996027</v>
      </c>
      <c r="BT19" s="16" t="n">
        <f aca="false">'Ensemble Parameters'!$B$11+'Ensemble Parameters'!$B$12*BS19</f>
        <v>116.981828299603</v>
      </c>
      <c r="BU19" s="17" t="n">
        <f aca="false">'Ensemble Parameters'!$B$13*BS19</f>
        <v>23.7745596194438</v>
      </c>
      <c r="BV19" s="18" t="n">
        <f aca="false">RANK(BT19,$BT$5:$BT$125,0)</f>
        <v>13</v>
      </c>
      <c r="BW19" s="15" t="n">
        <f aca="false">STDEV(BM19,BN19,BQ19,BR19)</f>
        <v>0.0921627539810119</v>
      </c>
      <c r="BX19" s="19" t="str">
        <f aca="false">IF(BW19&lt;'Ensemble Parameters'!$B$14,"High",IF(BW19&lt;'Ensemble Parameters'!$B$15,"Moderate","Low"))</f>
        <v>High</v>
      </c>
      <c r="BY19" s="19" t="str">
        <f aca="false">IF(BX19="Low","REVIEW — MODEL DISAGREEMENT","")</f>
        <v/>
      </c>
      <c r="BZ19" s="20" t="n">
        <v>4</v>
      </c>
    </row>
    <row r="20" customFormat="false" ht="15" hidden="false" customHeight="true" outlineLevel="0" collapsed="false">
      <c r="A20" s="7" t="s">
        <v>80</v>
      </c>
      <c r="B20" s="7" t="s">
        <v>121</v>
      </c>
      <c r="C20" s="7" t="s">
        <v>122</v>
      </c>
      <c r="D20" s="7" t="n">
        <v>66</v>
      </c>
      <c r="E20" s="7" t="s">
        <v>122</v>
      </c>
      <c r="F20" s="8" t="n">
        <v>24.171029067</v>
      </c>
      <c r="G20" s="9" t="n">
        <v>56</v>
      </c>
      <c r="H20" s="8" t="n">
        <v>4.12178078159432</v>
      </c>
      <c r="I20" s="8" t="n">
        <v>11.8056867222171</v>
      </c>
      <c r="J20" s="7" t="s">
        <v>83</v>
      </c>
      <c r="K20" s="7" t="s">
        <v>84</v>
      </c>
      <c r="L20" s="8" t="n">
        <v>-2.95832932671074</v>
      </c>
      <c r="M20" s="8" t="n">
        <v>97.0416706732893</v>
      </c>
      <c r="N20" s="9" t="n">
        <v>63</v>
      </c>
      <c r="O20" s="8" t="n">
        <v>0.55812380952381</v>
      </c>
      <c r="P20" s="8" t="n">
        <v>0.929980952380953</v>
      </c>
      <c r="Q20" s="7" t="s">
        <v>85</v>
      </c>
      <c r="R20" s="1" t="s">
        <v>86</v>
      </c>
      <c r="S20" s="10" t="n">
        <v>0.445032</v>
      </c>
      <c r="T20" s="11" t="n">
        <v>61</v>
      </c>
      <c r="U20" s="10" t="n">
        <v>0.450896</v>
      </c>
      <c r="V20" s="11" t="n">
        <v>54</v>
      </c>
      <c r="W20" s="10" t="n">
        <v>0.45855</v>
      </c>
      <c r="X20" s="11" t="n">
        <v>61</v>
      </c>
      <c r="Y20" s="10" t="n">
        <v>0.46321222805</v>
      </c>
      <c r="Z20" s="11" t="n">
        <v>54</v>
      </c>
      <c r="AA20" s="10" t="n">
        <v>0.2966</v>
      </c>
      <c r="AB20" s="10" t="n">
        <v>0.6087</v>
      </c>
      <c r="AC20" s="10" t="n">
        <v>0.536</v>
      </c>
      <c r="AD20" s="10" t="n">
        <v>0.665</v>
      </c>
      <c r="AE20" s="10" t="n">
        <v>0.325</v>
      </c>
      <c r="AF20" s="10" t="n">
        <v>0.511</v>
      </c>
      <c r="AG20" s="12" t="n">
        <v>32.81</v>
      </c>
      <c r="AH20" s="11" t="n">
        <v>-7</v>
      </c>
      <c r="AI20" s="1" t="s">
        <v>87</v>
      </c>
      <c r="AJ20" s="12" t="n">
        <v>4.76</v>
      </c>
      <c r="AK20" s="12" t="n">
        <v>4.82</v>
      </c>
      <c r="AL20" s="12" t="n">
        <v>4.09</v>
      </c>
      <c r="AM20" s="13" t="n">
        <v>-9.87612365113517</v>
      </c>
      <c r="AN20" s="11" t="n">
        <v>70</v>
      </c>
      <c r="AO20" s="11" t="n">
        <v>12</v>
      </c>
      <c r="AP20" s="14" t="s">
        <v>88</v>
      </c>
      <c r="AQ20" s="13" t="n">
        <v>-6.91328655579462</v>
      </c>
      <c r="AR20" s="11" t="n">
        <v>72</v>
      </c>
      <c r="AS20" s="13" t="n">
        <v>0.306496842137719</v>
      </c>
      <c r="AT20" s="13" t="n">
        <v>-6.6067897136569</v>
      </c>
      <c r="AU20" s="11" t="n">
        <v>73</v>
      </c>
      <c r="AV20" s="10"/>
      <c r="AW20" s="14" t="s">
        <v>89</v>
      </c>
      <c r="AX20" s="14" t="s">
        <v>90</v>
      </c>
      <c r="AY20" s="10" t="n">
        <v>-2.92807478125619</v>
      </c>
      <c r="AZ20" s="10" t="n">
        <v>97.0719252187438</v>
      </c>
      <c r="BA20" s="11" t="n">
        <v>61</v>
      </c>
      <c r="BB20" s="14" t="s">
        <v>91</v>
      </c>
      <c r="BC20" s="10"/>
      <c r="BD20" s="11"/>
      <c r="BE20" s="14" t="s">
        <v>92</v>
      </c>
      <c r="BF20" s="10" t="n">
        <v>0.00828205098932364</v>
      </c>
      <c r="BG20" s="11" t="n">
        <v>71</v>
      </c>
      <c r="BH20" s="11" t="n">
        <v>12</v>
      </c>
      <c r="BI20" s="11" t="n">
        <v>12</v>
      </c>
      <c r="BJ20" s="11" t="n">
        <v>0</v>
      </c>
      <c r="BK20" s="10"/>
      <c r="BL20" s="14" t="s">
        <v>93</v>
      </c>
      <c r="BM20" s="15" t="n">
        <f aca="false">(F20-'Ensemble Parameters'!$B$20)/'Ensemble Parameters'!$C$20</f>
        <v>-0.224438829852147</v>
      </c>
      <c r="BN20" s="15" t="n">
        <f aca="false">(L20-'Ensemble Parameters'!$B$21)/'Ensemble Parameters'!$C$21</f>
        <v>-0.310094859009906</v>
      </c>
      <c r="BO20" s="15" t="n">
        <f aca="false">(S20-'Ensemble Parameters'!$B$22)/'Ensemble Parameters'!$C$22</f>
        <v>-0.229390084712621</v>
      </c>
      <c r="BP20" s="15" t="n">
        <f aca="false">(W20-'Ensemble Parameters'!$B$23)/'Ensemble Parameters'!$C$23</f>
        <v>-0.235242354955499</v>
      </c>
      <c r="BQ20" s="15" t="n">
        <f aca="false">AVERAGE(BO20:BP20)</f>
        <v>-0.23231621983406</v>
      </c>
      <c r="BR20" s="15" t="n">
        <f aca="false">(AQ20-'Ensemble Parameters'!$B$24)/'Ensemble Parameters'!$C$24</f>
        <v>-0.453041701221578</v>
      </c>
      <c r="BS20" s="15" t="n">
        <f aca="false">BM20*'Ensemble Parameters'!$B$5+BN20*'Ensemble Parameters'!$B$6+BQ20*'Ensemble Parameters'!$B$8+BR20*'Ensemble Parameters'!$B$7</f>
        <v>-0.304972902479423</v>
      </c>
      <c r="BT20" s="16" t="n">
        <f aca="false">'Ensemble Parameters'!$B$11+'Ensemble Parameters'!$B$12*BS20</f>
        <v>96.9502709752058</v>
      </c>
      <c r="BU20" s="17" t="n">
        <f aca="false">'Ensemble Parameters'!$B$13*BS20</f>
        <v>-4.26962063471192</v>
      </c>
      <c r="BV20" s="18" t="n">
        <f aca="false">RANK(BT20,$BT$5:$BT$125,0)</f>
        <v>59</v>
      </c>
      <c r="BW20" s="15" t="n">
        <f aca="false">STDEV(BM20,BN20,BQ20,BR20)</f>
        <v>0.10601153079832</v>
      </c>
      <c r="BX20" s="19" t="str">
        <f aca="false">IF(BW20&lt;'Ensemble Parameters'!$B$14,"High",IF(BW20&lt;'Ensemble Parameters'!$B$15,"Moderate","Low"))</f>
        <v>High</v>
      </c>
      <c r="BY20" s="19" t="str">
        <f aca="false">IF(BX20="Low","REVIEW — MODEL DISAGREEMENT","")</f>
        <v/>
      </c>
      <c r="BZ20" s="20" t="n">
        <v>4</v>
      </c>
    </row>
    <row r="21" customFormat="false" ht="15" hidden="false" customHeight="true" outlineLevel="0" collapsed="false">
      <c r="A21" s="7" t="s">
        <v>80</v>
      </c>
      <c r="B21" s="7" t="s">
        <v>123</v>
      </c>
      <c r="C21" s="7" t="s">
        <v>124</v>
      </c>
      <c r="D21" s="7" t="n">
        <v>67</v>
      </c>
      <c r="E21" s="7" t="s">
        <v>124</v>
      </c>
      <c r="F21" s="8" t="n">
        <v>25.699937861</v>
      </c>
      <c r="G21" s="9" t="n">
        <v>41</v>
      </c>
      <c r="H21" s="8" t="n">
        <v>4.06890804232011</v>
      </c>
      <c r="I21" s="8" t="n">
        <v>13.4932137340397</v>
      </c>
      <c r="J21" s="7" t="s">
        <v>83</v>
      </c>
      <c r="K21" s="7" t="s">
        <v>84</v>
      </c>
      <c r="L21" s="8" t="n">
        <v>2.26402945033129</v>
      </c>
      <c r="M21" s="8" t="n">
        <v>102.264029450331</v>
      </c>
      <c r="N21" s="9" t="n">
        <v>36</v>
      </c>
      <c r="O21" s="8" t="n">
        <v>0.562809523809524</v>
      </c>
      <c r="P21" s="8" t="n">
        <v>1.00495238095238</v>
      </c>
      <c r="Q21" s="7" t="s">
        <v>85</v>
      </c>
      <c r="R21" s="1" t="s">
        <v>86</v>
      </c>
      <c r="S21" s="10" t="n">
        <v>0.532707</v>
      </c>
      <c r="T21" s="11" t="n">
        <v>38</v>
      </c>
      <c r="U21" s="10" t="n">
        <v>0.521408</v>
      </c>
      <c r="V21" s="11" t="n">
        <v>39</v>
      </c>
      <c r="W21" s="10" t="n">
        <v>0.538825</v>
      </c>
      <c r="X21" s="11" t="n">
        <v>38</v>
      </c>
      <c r="Y21" s="10" t="n">
        <v>0.526982762975</v>
      </c>
      <c r="Z21" s="11" t="n">
        <v>39</v>
      </c>
      <c r="AA21" s="10" t="n">
        <v>0.4932</v>
      </c>
      <c r="AB21" s="10" t="n">
        <v>0.5089</v>
      </c>
      <c r="AC21" s="10" t="n">
        <v>0.4573</v>
      </c>
      <c r="AD21" s="10" t="n">
        <v>0.501</v>
      </c>
      <c r="AE21" s="10" t="n">
        <v>1</v>
      </c>
      <c r="AF21" s="10" t="n">
        <v>0.4056</v>
      </c>
      <c r="AG21" s="12" t="n">
        <v>13.44</v>
      </c>
      <c r="AH21" s="11" t="n">
        <v>1</v>
      </c>
      <c r="AI21" s="1" t="s">
        <v>87</v>
      </c>
      <c r="AJ21" s="12" t="n">
        <v>5.44</v>
      </c>
      <c r="AK21" s="12" t="n">
        <v>5.5</v>
      </c>
      <c r="AL21" s="12" t="n">
        <v>6.06</v>
      </c>
      <c r="AM21" s="13" t="n">
        <v>1.73586969095059</v>
      </c>
      <c r="AN21" s="11" t="n">
        <v>36</v>
      </c>
      <c r="AO21" s="11" t="n">
        <v>13</v>
      </c>
      <c r="AP21" s="14" t="s">
        <v>88</v>
      </c>
      <c r="AQ21" s="13" t="n">
        <v>1.21510878366541</v>
      </c>
      <c r="AR21" s="11" t="n">
        <v>36</v>
      </c>
      <c r="AS21" s="13" t="n">
        <v>-0.141962461658405</v>
      </c>
      <c r="AT21" s="13" t="n">
        <v>1.07314632200701</v>
      </c>
      <c r="AU21" s="11" t="n">
        <v>37</v>
      </c>
      <c r="AV21" s="10"/>
      <c r="AW21" s="14" t="s">
        <v>89</v>
      </c>
      <c r="AX21" s="14" t="s">
        <v>90</v>
      </c>
      <c r="AY21" s="10" t="n">
        <v>1.45108399578583</v>
      </c>
      <c r="AZ21" s="10" t="n">
        <v>101.451083995786</v>
      </c>
      <c r="BA21" s="11" t="n">
        <v>37</v>
      </c>
      <c r="BB21" s="14" t="s">
        <v>91</v>
      </c>
      <c r="BC21" s="10"/>
      <c r="BD21" s="11"/>
      <c r="BE21" s="14" t="s">
        <v>92</v>
      </c>
      <c r="BF21" s="10" t="n">
        <v>0.00827772812002048</v>
      </c>
      <c r="BG21" s="11" t="n">
        <v>81</v>
      </c>
      <c r="BH21" s="11" t="n">
        <v>12</v>
      </c>
      <c r="BI21" s="11" t="n">
        <v>12</v>
      </c>
      <c r="BJ21" s="11" t="n">
        <v>0</v>
      </c>
      <c r="BK21" s="10"/>
      <c r="BL21" s="14" t="s">
        <v>93</v>
      </c>
      <c r="BM21" s="15" t="n">
        <f aca="false">(F21-'Ensemble Parameters'!$B$20)/'Ensemble Parameters'!$C$20</f>
        <v>0.126285569808639</v>
      </c>
      <c r="BN21" s="15" t="n">
        <f aca="false">(L21-'Ensemble Parameters'!$B$21)/'Ensemble Parameters'!$C$21</f>
        <v>0.23731769375905</v>
      </c>
      <c r="BO21" s="15" t="n">
        <f aca="false">(S21-'Ensemble Parameters'!$B$22)/'Ensemble Parameters'!$C$22</f>
        <v>0.3820235884877</v>
      </c>
      <c r="BP21" s="15" t="n">
        <f aca="false">(W21-'Ensemble Parameters'!$B$23)/'Ensemble Parameters'!$C$23</f>
        <v>0.393750951089233</v>
      </c>
      <c r="BQ21" s="15" t="n">
        <f aca="false">AVERAGE(BO21:BP21)</f>
        <v>0.387887269788467</v>
      </c>
      <c r="BR21" s="15" t="n">
        <f aca="false">(AQ21-'Ensemble Parameters'!$B$24)/'Ensemble Parameters'!$C$24</f>
        <v>0.0863059527668534</v>
      </c>
      <c r="BS21" s="15" t="n">
        <f aca="false">BM21*'Ensemble Parameters'!$B$5+BN21*'Ensemble Parameters'!$B$6+BQ21*'Ensemble Parameters'!$B$8+BR21*'Ensemble Parameters'!$B$7</f>
        <v>0.209449121530752</v>
      </c>
      <c r="BT21" s="16" t="n">
        <f aca="false">'Ensemble Parameters'!$B$11+'Ensemble Parameters'!$B$12*BS21</f>
        <v>102.094491215308</v>
      </c>
      <c r="BU21" s="17" t="n">
        <f aca="false">'Ensemble Parameters'!$B$13*BS21</f>
        <v>2.93228770143053</v>
      </c>
      <c r="BV21" s="18" t="n">
        <f aca="false">RANK(BT21,$BT$5:$BT$125,0)</f>
        <v>36</v>
      </c>
      <c r="BW21" s="15" t="n">
        <f aca="false">STDEV(BM21,BN21,BQ21,BR21)</f>
        <v>0.135027461922796</v>
      </c>
      <c r="BX21" s="19" t="str">
        <f aca="false">IF(BW21&lt;'Ensemble Parameters'!$B$14,"High",IF(BW21&lt;'Ensemble Parameters'!$B$15,"Moderate","Low"))</f>
        <v>High</v>
      </c>
      <c r="BY21" s="19" t="str">
        <f aca="false">IF(BX21="Low","REVIEW — MODEL DISAGREEMENT","")</f>
        <v/>
      </c>
      <c r="BZ21" s="20" t="n">
        <v>4</v>
      </c>
    </row>
    <row r="22" customFormat="false" ht="15" hidden="false" customHeight="true" outlineLevel="0" collapsed="false">
      <c r="A22" s="7" t="s">
        <v>125</v>
      </c>
      <c r="B22" s="7" t="s">
        <v>126</v>
      </c>
      <c r="C22" s="7" t="s">
        <v>127</v>
      </c>
      <c r="D22" s="7" t="n">
        <v>86</v>
      </c>
      <c r="E22" s="7" t="s">
        <v>127</v>
      </c>
      <c r="F22" s="8" t="n">
        <v>27.909466357</v>
      </c>
      <c r="G22" s="9" t="n">
        <v>32</v>
      </c>
      <c r="H22" s="8" t="n">
        <v>4.10656121144237</v>
      </c>
      <c r="I22" s="8" t="n">
        <v>15.5897827226729</v>
      </c>
      <c r="J22" s="7" t="s">
        <v>83</v>
      </c>
      <c r="K22" s="7" t="s">
        <v>84</v>
      </c>
      <c r="L22" s="8" t="n">
        <v>1.88563205128785</v>
      </c>
      <c r="M22" s="8" t="n">
        <v>101.885632051288</v>
      </c>
      <c r="N22" s="9" t="n">
        <v>37</v>
      </c>
      <c r="O22" s="8" t="n">
        <v>0.520847058823529</v>
      </c>
      <c r="P22" s="8" t="n">
        <v>0.333552941176469</v>
      </c>
      <c r="Q22" s="7" t="s">
        <v>85</v>
      </c>
      <c r="R22" s="1" t="s">
        <v>86</v>
      </c>
      <c r="S22" s="10" t="n">
        <v>0.533713</v>
      </c>
      <c r="T22" s="11" t="n">
        <v>36</v>
      </c>
      <c r="U22" s="10" t="n">
        <v>0.543694</v>
      </c>
      <c r="V22" s="11" t="n">
        <v>36</v>
      </c>
      <c r="W22" s="10" t="n">
        <v>0.514933333333333</v>
      </c>
      <c r="X22" s="11" t="n">
        <v>39</v>
      </c>
      <c r="Y22" s="10" t="n">
        <v>0.526583718266667</v>
      </c>
      <c r="Z22" s="11" t="n">
        <v>36</v>
      </c>
      <c r="AA22" s="10" t="n">
        <v>0.5474</v>
      </c>
      <c r="AB22" s="10" t="n">
        <v>0.5875</v>
      </c>
      <c r="AC22" s="10" t="n">
        <v>0.3174</v>
      </c>
      <c r="AD22" s="10"/>
      <c r="AE22" s="10" t="n">
        <v>0.75</v>
      </c>
      <c r="AF22" s="10" t="n">
        <v>0.646</v>
      </c>
      <c r="AG22" s="12" t="n">
        <v>0</v>
      </c>
      <c r="AH22" s="11" t="n">
        <v>0</v>
      </c>
      <c r="AI22" s="1" t="s">
        <v>87</v>
      </c>
      <c r="AJ22" s="12" t="n">
        <v>8.45</v>
      </c>
      <c r="AK22" s="12" t="n">
        <v>7.96</v>
      </c>
      <c r="AL22" s="12" t="n">
        <v>7.88</v>
      </c>
      <c r="AM22" s="13" t="n">
        <v>3.93190769713661</v>
      </c>
      <c r="AN22" s="11" t="n">
        <v>32</v>
      </c>
      <c r="AO22" s="11" t="n">
        <v>13</v>
      </c>
      <c r="AP22" s="14" t="s">
        <v>88</v>
      </c>
      <c r="AQ22" s="13" t="n">
        <v>2.75233538799562</v>
      </c>
      <c r="AR22" s="11" t="n">
        <v>32</v>
      </c>
      <c r="AS22" s="13" t="n">
        <v>-1.35191833937976</v>
      </c>
      <c r="AT22" s="13" t="n">
        <v>1.40041704861587</v>
      </c>
      <c r="AU22" s="11" t="n">
        <v>35</v>
      </c>
      <c r="AV22" s="10"/>
      <c r="AW22" s="14" t="s">
        <v>89</v>
      </c>
      <c r="AX22" s="14" t="s">
        <v>90</v>
      </c>
      <c r="AY22" s="10" t="n">
        <v>2.99588659674239</v>
      </c>
      <c r="AZ22" s="10" t="n">
        <v>102.995886596742</v>
      </c>
      <c r="BA22" s="11" t="n">
        <v>35</v>
      </c>
      <c r="BB22" s="14" t="s">
        <v>91</v>
      </c>
      <c r="BC22" s="10"/>
      <c r="BD22" s="11"/>
      <c r="BE22" s="14" t="s">
        <v>92</v>
      </c>
      <c r="BF22" s="10" t="n">
        <v>0.00829231513526802</v>
      </c>
      <c r="BG22" s="11" t="n">
        <v>58</v>
      </c>
      <c r="BH22" s="11" t="n">
        <v>12</v>
      </c>
      <c r="BI22" s="11" t="n">
        <v>12</v>
      </c>
      <c r="BJ22" s="11" t="n">
        <v>0</v>
      </c>
      <c r="BK22" s="10"/>
      <c r="BL22" s="14" t="s">
        <v>93</v>
      </c>
      <c r="BM22" s="15" t="n">
        <f aca="false">(F22-'Ensemble Parameters'!$B$20)/'Ensemble Parameters'!$C$20</f>
        <v>0.633140889324185</v>
      </c>
      <c r="BN22" s="15" t="n">
        <f aca="false">(L22-'Ensemble Parameters'!$B$21)/'Ensemble Parameters'!$C$21</f>
        <v>0.197653722933815</v>
      </c>
      <c r="BO22" s="15" t="n">
        <f aca="false">(S22-'Ensemble Parameters'!$B$22)/'Ensemble Parameters'!$C$22</f>
        <v>0.38903906787452</v>
      </c>
      <c r="BP22" s="15" t="n">
        <f aca="false">(W22-'Ensemble Parameters'!$B$23)/'Ensemble Parameters'!$C$23</f>
        <v>0.206548230396794</v>
      </c>
      <c r="BQ22" s="15" t="n">
        <f aca="false">AVERAGE(BO22:BP22)</f>
        <v>0.297793649135657</v>
      </c>
      <c r="BR22" s="15" t="n">
        <f aca="false">(AQ22-'Ensemble Parameters'!$B$24)/'Ensemble Parameters'!$C$24</f>
        <v>0.188306351131973</v>
      </c>
      <c r="BS22" s="15" t="n">
        <f aca="false">BM22*'Ensemble Parameters'!$B$5+BN22*'Ensemble Parameters'!$B$6+BQ22*'Ensemble Parameters'!$B$8+BR22*'Ensemble Parameters'!$B$7</f>
        <v>0.329223653131408</v>
      </c>
      <c r="BT22" s="16" t="n">
        <f aca="false">'Ensemble Parameters'!$B$11+'Ensemble Parameters'!$B$12*BS22</f>
        <v>103.292236531314</v>
      </c>
      <c r="BU22" s="17" t="n">
        <f aca="false">'Ensemble Parameters'!$B$13*BS22</f>
        <v>4.60913114383971</v>
      </c>
      <c r="BV22" s="18" t="n">
        <f aca="false">RANK(BT22,$BT$5:$BT$125,0)</f>
        <v>33</v>
      </c>
      <c r="BW22" s="15" t="n">
        <f aca="false">STDEV(BM22,BN22,BQ22,BR22)</f>
        <v>0.208584007169956</v>
      </c>
      <c r="BX22" s="19" t="str">
        <f aca="false">IF(BW22&lt;'Ensemble Parameters'!$B$14,"High",IF(BW22&lt;'Ensemble Parameters'!$B$15,"Moderate","Low"))</f>
        <v>High</v>
      </c>
      <c r="BY22" s="19" t="str">
        <f aca="false">IF(BX22="Low","REVIEW — MODEL DISAGREEMENT","")</f>
        <v/>
      </c>
      <c r="BZ22" s="20" t="n">
        <v>4</v>
      </c>
    </row>
    <row r="23" customFormat="false" ht="15" hidden="false" customHeight="true" outlineLevel="0" collapsed="false">
      <c r="A23" s="7" t="s">
        <v>125</v>
      </c>
      <c r="B23" s="7" t="s">
        <v>128</v>
      </c>
      <c r="C23" s="7" t="s">
        <v>129</v>
      </c>
      <c r="D23" s="7" t="n">
        <v>87</v>
      </c>
      <c r="E23" s="7" t="s">
        <v>129</v>
      </c>
      <c r="F23" s="8" t="n">
        <v>27.642790836</v>
      </c>
      <c r="G23" s="9" t="n">
        <v>34</v>
      </c>
      <c r="H23" s="8" t="n">
        <v>4.12354484969151</v>
      </c>
      <c r="I23" s="8" t="n">
        <v>15.2721562869255</v>
      </c>
      <c r="J23" s="7" t="s">
        <v>83</v>
      </c>
      <c r="K23" s="7" t="s">
        <v>84</v>
      </c>
      <c r="L23" s="8" t="n">
        <v>0.404650826282268</v>
      </c>
      <c r="M23" s="8" t="n">
        <v>100.404650826282</v>
      </c>
      <c r="N23" s="9" t="n">
        <v>40</v>
      </c>
      <c r="O23" s="8" t="n">
        <v>0.47072380952381</v>
      </c>
      <c r="P23" s="8" t="n">
        <v>-0.468419047619047</v>
      </c>
      <c r="Q23" s="7" t="s">
        <v>85</v>
      </c>
      <c r="R23" s="1" t="s">
        <v>86</v>
      </c>
      <c r="S23" s="10" t="n">
        <v>0.482176</v>
      </c>
      <c r="T23" s="11" t="n">
        <v>45</v>
      </c>
      <c r="U23" s="10" t="n">
        <v>0.486142</v>
      </c>
      <c r="V23" s="11" t="n">
        <v>58</v>
      </c>
      <c r="W23" s="10" t="n">
        <v>0.48514</v>
      </c>
      <c r="X23" s="11" t="n">
        <v>47</v>
      </c>
      <c r="Y23" s="10" t="n">
        <v>0.48884311574</v>
      </c>
      <c r="Z23" s="11" t="n">
        <v>58</v>
      </c>
      <c r="AA23" s="10" t="n">
        <v>0.4972</v>
      </c>
      <c r="AB23" s="10" t="n">
        <v>0.3736</v>
      </c>
      <c r="AC23" s="10" t="n">
        <v>0.4524</v>
      </c>
      <c r="AD23" s="10" t="n">
        <v>0.483</v>
      </c>
      <c r="AE23" s="10" t="n">
        <v>0.75</v>
      </c>
      <c r="AF23" s="10" t="n">
        <v>0.5268</v>
      </c>
      <c r="AG23" s="12" t="n">
        <v>12.52</v>
      </c>
      <c r="AH23" s="11" t="n">
        <v>13</v>
      </c>
      <c r="AI23" s="1" t="s">
        <v>87</v>
      </c>
      <c r="AJ23" s="12" t="n">
        <v>6.64</v>
      </c>
      <c r="AK23" s="12" t="n">
        <v>6.62</v>
      </c>
      <c r="AL23" s="12" t="n">
        <v>6.58</v>
      </c>
      <c r="AM23" s="13" t="n">
        <v>0.266384854199006</v>
      </c>
      <c r="AN23" s="11" t="n">
        <v>37</v>
      </c>
      <c r="AO23" s="11" t="n">
        <v>13</v>
      </c>
      <c r="AP23" s="14" t="s">
        <v>88</v>
      </c>
      <c r="AQ23" s="13" t="n">
        <v>0.186469397939304</v>
      </c>
      <c r="AR23" s="11" t="n">
        <v>37</v>
      </c>
      <c r="AS23" s="13" t="n">
        <v>-1.45682938312049</v>
      </c>
      <c r="AT23" s="13" t="n">
        <v>-1.27035998518119</v>
      </c>
      <c r="AU23" s="11" t="n">
        <v>43</v>
      </c>
      <c r="AV23" s="10"/>
      <c r="AW23" s="14" t="s">
        <v>89</v>
      </c>
      <c r="AX23" s="14" t="s">
        <v>90</v>
      </c>
      <c r="AY23" s="10" t="n">
        <v>0.561305371736812</v>
      </c>
      <c r="AZ23" s="10" t="n">
        <v>100.561305371737</v>
      </c>
      <c r="BA23" s="11" t="n">
        <v>40</v>
      </c>
      <c r="BB23" s="14" t="s">
        <v>91</v>
      </c>
      <c r="BC23" s="10"/>
      <c r="BD23" s="11"/>
      <c r="BE23" s="14" t="s">
        <v>92</v>
      </c>
      <c r="BF23" s="10" t="n">
        <v>0.00829176846007309</v>
      </c>
      <c r="BG23" s="11" t="n">
        <v>59</v>
      </c>
      <c r="BH23" s="11" t="n">
        <v>12</v>
      </c>
      <c r="BI23" s="11" t="n">
        <v>12</v>
      </c>
      <c r="BJ23" s="11" t="n">
        <v>0</v>
      </c>
      <c r="BK23" s="10"/>
      <c r="BL23" s="14" t="s">
        <v>93</v>
      </c>
      <c r="BM23" s="15" t="n">
        <f aca="false">(F23-'Ensemble Parameters'!$B$20)/'Ensemble Parameters'!$C$20</f>
        <v>0.571966794195688</v>
      </c>
      <c r="BN23" s="15" t="n">
        <f aca="false">(L23-'Ensemble Parameters'!$B$21)/'Ensemble Parameters'!$C$21</f>
        <v>0.0424158797302525</v>
      </c>
      <c r="BO23" s="15" t="n">
        <f aca="false">(S23-'Ensemble Parameters'!$B$22)/'Ensemble Parameters'!$C$22</f>
        <v>0.0296387088699593</v>
      </c>
      <c r="BP23" s="15" t="n">
        <f aca="false">(W23-'Ensemble Parameters'!$B$23)/'Ensemble Parameters'!$C$23</f>
        <v>-0.0268968923864618</v>
      </c>
      <c r="BQ23" s="15" t="n">
        <f aca="false">AVERAGE(BO23:BP23)</f>
        <v>0.00137090824174874</v>
      </c>
      <c r="BR23" s="15" t="n">
        <f aca="false">(AQ23-'Ensemble Parameters'!$B$24)/'Ensemble Parameters'!$C$24</f>
        <v>0.0180521072878844</v>
      </c>
      <c r="BS23" s="15" t="n">
        <f aca="false">BM23*'Ensemble Parameters'!$B$5+BN23*'Ensemble Parameters'!$B$6+BQ23*'Ensemble Parameters'!$B$8+BR23*'Ensemble Parameters'!$B$7</f>
        <v>0.158451422363893</v>
      </c>
      <c r="BT23" s="16" t="n">
        <f aca="false">'Ensemble Parameters'!$B$11+'Ensemble Parameters'!$B$12*BS23</f>
        <v>101.584514223639</v>
      </c>
      <c r="BU23" s="17" t="n">
        <f aca="false">'Ensemble Parameters'!$B$13*BS23</f>
        <v>2.21831991309451</v>
      </c>
      <c r="BV23" s="18" t="n">
        <f aca="false">RANK(BT23,$BT$5:$BT$125,0)</f>
        <v>38</v>
      </c>
      <c r="BW23" s="15" t="n">
        <f aca="false">STDEV(BM23,BN23,BQ23,BR23)</f>
        <v>0.276191639679264</v>
      </c>
      <c r="BX23" s="19" t="str">
        <f aca="false">IF(BW23&lt;'Ensemble Parameters'!$B$14,"High",IF(BW23&lt;'Ensemble Parameters'!$B$15,"Moderate","Low"))</f>
        <v>High</v>
      </c>
      <c r="BY23" s="19" t="str">
        <f aca="false">IF(BX23="Low","REVIEW — MODEL DISAGREEMENT","")</f>
        <v/>
      </c>
      <c r="BZ23" s="20" t="n">
        <v>4</v>
      </c>
    </row>
    <row r="24" customFormat="false" ht="15" hidden="false" customHeight="true" outlineLevel="0" collapsed="false">
      <c r="A24" s="7" t="s">
        <v>125</v>
      </c>
      <c r="B24" s="7" t="s">
        <v>130</v>
      </c>
      <c r="C24" s="7" t="s">
        <v>131</v>
      </c>
      <c r="D24" s="7" t="n">
        <v>88</v>
      </c>
      <c r="E24" s="7" t="s">
        <v>131</v>
      </c>
      <c r="F24" s="8" t="n">
        <v>21.003332311</v>
      </c>
      <c r="G24" s="9" t="n">
        <v>105</v>
      </c>
      <c r="H24" s="8" t="n">
        <v>4.41362365153098</v>
      </c>
      <c r="I24" s="8" t="n">
        <v>7.76246135640707</v>
      </c>
      <c r="J24" s="7" t="s">
        <v>83</v>
      </c>
      <c r="K24" s="7" t="s">
        <v>84</v>
      </c>
      <c r="L24" s="8" t="n">
        <v>-4.98461347552308</v>
      </c>
      <c r="M24" s="8" t="n">
        <v>95.0153865244769</v>
      </c>
      <c r="N24" s="9" t="n">
        <v>81</v>
      </c>
      <c r="O24" s="8" t="n">
        <v>0.588180952380953</v>
      </c>
      <c r="P24" s="8" t="n">
        <v>1.41089523809524</v>
      </c>
      <c r="Q24" s="7" t="s">
        <v>85</v>
      </c>
      <c r="R24" s="1" t="s">
        <v>86</v>
      </c>
      <c r="S24" s="10" t="n">
        <v>0.422999</v>
      </c>
      <c r="T24" s="11" t="n">
        <v>73</v>
      </c>
      <c r="U24" s="10" t="n">
        <v>0.418777</v>
      </c>
      <c r="V24" s="11" t="n">
        <v>71</v>
      </c>
      <c r="W24" s="10" t="n">
        <v>0.444065</v>
      </c>
      <c r="X24" s="11" t="n">
        <v>70</v>
      </c>
      <c r="Y24" s="10" t="n">
        <v>0.437970325715</v>
      </c>
      <c r="Z24" s="11" t="n">
        <v>71</v>
      </c>
      <c r="AA24" s="10" t="n">
        <v>0.2062</v>
      </c>
      <c r="AB24" s="10" t="n">
        <v>0.6981</v>
      </c>
      <c r="AC24" s="10" t="n">
        <v>0.4435</v>
      </c>
      <c r="AD24" s="10" t="n">
        <v>0.464</v>
      </c>
      <c r="AE24" s="10" t="n">
        <v>0.75</v>
      </c>
      <c r="AF24" s="10" t="n">
        <v>0.3755</v>
      </c>
      <c r="AG24" s="12" t="n">
        <v>10.92</v>
      </c>
      <c r="AH24" s="11" t="n">
        <v>-2</v>
      </c>
      <c r="AI24" s="1" t="s">
        <v>87</v>
      </c>
      <c r="AJ24" s="12" t="n">
        <v>5.37</v>
      </c>
      <c r="AK24" s="12" t="n">
        <v>5.66</v>
      </c>
      <c r="AL24" s="12" t="n">
        <v>7.17</v>
      </c>
      <c r="AM24" s="13" t="n">
        <v>-14.1838736826438</v>
      </c>
      <c r="AN24" s="11" t="n">
        <v>86</v>
      </c>
      <c r="AO24" s="11" t="n">
        <v>12</v>
      </c>
      <c r="AP24" s="14" t="s">
        <v>88</v>
      </c>
      <c r="AQ24" s="13" t="n">
        <v>-9.92871157785066</v>
      </c>
      <c r="AR24" s="11" t="n">
        <v>88</v>
      </c>
      <c r="AS24" s="13" t="n">
        <v>1.04207237371753</v>
      </c>
      <c r="AT24" s="13" t="n">
        <v>-8.88663920413313</v>
      </c>
      <c r="AU24" s="11" t="n">
        <v>86</v>
      </c>
      <c r="AV24" s="10"/>
      <c r="AW24" s="14" t="s">
        <v>89</v>
      </c>
      <c r="AX24" s="14" t="s">
        <v>90</v>
      </c>
      <c r="AY24" s="10" t="n">
        <v>-6.03835893006853</v>
      </c>
      <c r="AZ24" s="10" t="n">
        <v>93.9616410699315</v>
      </c>
      <c r="BA24" s="11" t="n">
        <v>82</v>
      </c>
      <c r="BB24" s="14" t="s">
        <v>91</v>
      </c>
      <c r="BC24" s="10"/>
      <c r="BD24" s="11"/>
      <c r="BE24" s="14" t="s">
        <v>92</v>
      </c>
      <c r="BF24" s="10" t="n">
        <v>0.00828211039360723</v>
      </c>
      <c r="BG24" s="11" t="n">
        <v>70</v>
      </c>
      <c r="BH24" s="11" t="n">
        <v>12</v>
      </c>
      <c r="BI24" s="11" t="n">
        <v>12</v>
      </c>
      <c r="BJ24" s="11" t="n">
        <v>0</v>
      </c>
      <c r="BK24" s="10"/>
      <c r="BL24" s="14" t="s">
        <v>93</v>
      </c>
      <c r="BM24" s="15" t="n">
        <f aca="false">(F24-'Ensemble Parameters'!$B$20)/'Ensemble Parameters'!$C$20</f>
        <v>-0.951093387282548</v>
      </c>
      <c r="BN24" s="15" t="n">
        <f aca="false">(L24-'Ensemble Parameters'!$B$21)/'Ensemble Parameters'!$C$21</f>
        <v>-0.522491866931467</v>
      </c>
      <c r="BO24" s="15" t="n">
        <f aca="false">(S24-'Ensemble Parameters'!$B$22)/'Ensemble Parameters'!$C$22</f>
        <v>-0.383040241104096</v>
      </c>
      <c r="BP24" s="15" t="n">
        <f aca="false">(W24-'Ensemble Parameters'!$B$23)/'Ensemble Parameters'!$C$23</f>
        <v>-0.348739309649463</v>
      </c>
      <c r="BQ24" s="15" t="n">
        <f aca="false">AVERAGE(BO24:BP24)</f>
        <v>-0.365889775376779</v>
      </c>
      <c r="BR24" s="15" t="n">
        <f aca="false">(AQ24-'Ensemble Parameters'!$B$24)/'Ensemble Parameters'!$C$24</f>
        <v>-0.653125769909603</v>
      </c>
      <c r="BS24" s="15" t="n">
        <f aca="false">BM24*'Ensemble Parameters'!$B$5+BN24*'Ensemble Parameters'!$B$6+BQ24*'Ensemble Parameters'!$B$8+BR24*'Ensemble Parameters'!$B$7</f>
        <v>-0.623150199875099</v>
      </c>
      <c r="BT24" s="16" t="n">
        <f aca="false">'Ensemble Parameters'!$B$11+'Ensemble Parameters'!$B$12*BS24</f>
        <v>93.768498001249</v>
      </c>
      <c r="BU24" s="17" t="n">
        <f aca="false">'Ensemble Parameters'!$B$13*BS24</f>
        <v>-8.72410279825139</v>
      </c>
      <c r="BV24" s="18" t="n">
        <f aca="false">RANK(BT24,$BT$5:$BT$125,0)</f>
        <v>82</v>
      </c>
      <c r="BW24" s="15" t="n">
        <f aca="false">STDEV(BM24,BN24,BQ24,BR24)</f>
        <v>0.24816680879998</v>
      </c>
      <c r="BX24" s="19" t="str">
        <f aca="false">IF(BW24&lt;'Ensemble Parameters'!$B$14,"High",IF(BW24&lt;'Ensemble Parameters'!$B$15,"Moderate","Low"))</f>
        <v>High</v>
      </c>
      <c r="BY24" s="19" t="str">
        <f aca="false">IF(BX24="Low","REVIEW — MODEL DISAGREEMENT","")</f>
        <v/>
      </c>
      <c r="BZ24" s="20" t="n">
        <v>4</v>
      </c>
    </row>
    <row r="25" customFormat="false" ht="15" hidden="false" customHeight="true" outlineLevel="0" collapsed="false">
      <c r="A25" s="7" t="s">
        <v>125</v>
      </c>
      <c r="B25" s="7" t="s">
        <v>132</v>
      </c>
      <c r="C25" s="7" t="s">
        <v>133</v>
      </c>
      <c r="D25" s="7" t="n">
        <v>89</v>
      </c>
      <c r="E25" s="7" t="s">
        <v>133</v>
      </c>
      <c r="F25" s="8" t="n">
        <v>20.447448332</v>
      </c>
      <c r="G25" s="9" t="n">
        <v>112</v>
      </c>
      <c r="H25" s="8" t="n">
        <v>4.12124285325689</v>
      </c>
      <c r="I25" s="8" t="n">
        <v>8.08371977222933</v>
      </c>
      <c r="J25" s="7" t="s">
        <v>83</v>
      </c>
      <c r="K25" s="7" t="s">
        <v>84</v>
      </c>
      <c r="L25" s="8" t="n">
        <v>-8.29732051874496</v>
      </c>
      <c r="M25" s="8" t="n">
        <v>91.7026794812551</v>
      </c>
      <c r="N25" s="9" t="n">
        <v>97</v>
      </c>
      <c r="O25" s="8" t="n">
        <v>0.492942857142857</v>
      </c>
      <c r="P25" s="8" t="n">
        <v>-0.112914285714284</v>
      </c>
      <c r="Q25" s="7" t="s">
        <v>85</v>
      </c>
      <c r="R25" s="1" t="s">
        <v>86</v>
      </c>
      <c r="S25" s="10" t="n">
        <v>0.342613</v>
      </c>
      <c r="T25" s="11" t="n">
        <v>100</v>
      </c>
      <c r="U25" s="10" t="n">
        <v>0.353697</v>
      </c>
      <c r="V25" s="11" t="n">
        <v>97</v>
      </c>
      <c r="W25" s="10" t="n">
        <v>0.37201</v>
      </c>
      <c r="X25" s="11" t="n">
        <v>97</v>
      </c>
      <c r="Y25" s="10" t="n">
        <v>0.38048023281</v>
      </c>
      <c r="Z25" s="11" t="n">
        <v>97</v>
      </c>
      <c r="AA25" s="10" t="n">
        <v>0.1453</v>
      </c>
      <c r="AB25" s="10" t="n">
        <v>0.5032</v>
      </c>
      <c r="AC25" s="10" t="n">
        <v>0.4361</v>
      </c>
      <c r="AD25" s="10" t="n">
        <v>0.3649</v>
      </c>
      <c r="AE25" s="10" t="n">
        <v>0.75</v>
      </c>
      <c r="AF25" s="10" t="n">
        <v>0.4673</v>
      </c>
      <c r="AG25" s="12" t="n">
        <v>9.68</v>
      </c>
      <c r="AH25" s="11" t="n">
        <v>-3</v>
      </c>
      <c r="AI25" s="1" t="s">
        <v>87</v>
      </c>
      <c r="AJ25" s="12" t="n">
        <v>5.68</v>
      </c>
      <c r="AK25" s="12" t="n">
        <v>5.94</v>
      </c>
      <c r="AL25" s="12" t="n">
        <v>7.03</v>
      </c>
      <c r="AM25" s="13" t="n">
        <v>-17.1695348173037</v>
      </c>
      <c r="AN25" s="11" t="n">
        <v>90</v>
      </c>
      <c r="AO25" s="11" t="n">
        <v>12</v>
      </c>
      <c r="AP25" s="14" t="s">
        <v>88</v>
      </c>
      <c r="AQ25" s="13" t="n">
        <v>-12.0186743721126</v>
      </c>
      <c r="AR25" s="11" t="n">
        <v>92</v>
      </c>
      <c r="AS25" s="13" t="n">
        <v>0.0671429341854108</v>
      </c>
      <c r="AT25" s="13" t="n">
        <v>-11.9515314379272</v>
      </c>
      <c r="AU25" s="11" t="n">
        <v>94</v>
      </c>
      <c r="AV25" s="10"/>
      <c r="AW25" s="14" t="s">
        <v>89</v>
      </c>
      <c r="AX25" s="14" t="s">
        <v>90</v>
      </c>
      <c r="AY25" s="10" t="n">
        <v>-8.61666597329042</v>
      </c>
      <c r="AZ25" s="10" t="n">
        <v>91.3833340267096</v>
      </c>
      <c r="BA25" s="11" t="n">
        <v>96</v>
      </c>
      <c r="BB25" s="14" t="s">
        <v>91</v>
      </c>
      <c r="BC25" s="10"/>
      <c r="BD25" s="11"/>
      <c r="BE25" s="14" t="s">
        <v>92</v>
      </c>
      <c r="BF25" s="10" t="n">
        <v>0.00713635571383958</v>
      </c>
      <c r="BG25" s="11" t="n">
        <v>120</v>
      </c>
      <c r="BH25" s="11" t="n">
        <v>12</v>
      </c>
      <c r="BI25" s="11" t="n">
        <v>10</v>
      </c>
      <c r="BJ25" s="11" t="n">
        <v>2</v>
      </c>
      <c r="BK25" s="10"/>
      <c r="BL25" s="14" t="s">
        <v>93</v>
      </c>
      <c r="BM25" s="15" t="n">
        <f aca="false">(F25-'Ensemble Parameters'!$B$20)/'Ensemble Parameters'!$C$20</f>
        <v>-1.07861052602943</v>
      </c>
      <c r="BN25" s="15" t="n">
        <f aca="false">(L25-'Ensemble Parameters'!$B$21)/'Ensemble Parameters'!$C$21</f>
        <v>-0.869732931080054</v>
      </c>
      <c r="BO25" s="15" t="n">
        <f aca="false">(S25-'Ensemble Parameters'!$B$22)/'Ensemble Parameters'!$C$22</f>
        <v>-0.943623070118992</v>
      </c>
      <c r="BP25" s="15" t="n">
        <f aca="false">(W25-'Ensemble Parameters'!$B$23)/'Ensemble Parameters'!$C$23</f>
        <v>-0.913324954832311</v>
      </c>
      <c r="BQ25" s="15" t="n">
        <f aca="false">AVERAGE(BO25:BP25)</f>
        <v>-0.928474012475651</v>
      </c>
      <c r="BR25" s="15" t="n">
        <f aca="false">(AQ25-'Ensemble Parameters'!$B$24)/'Ensemble Parameters'!$C$24</f>
        <v>-0.791802160874017</v>
      </c>
      <c r="BS25" s="15" t="n">
        <f aca="false">BM25*'Ensemble Parameters'!$B$5+BN25*'Ensemble Parameters'!$B$6+BQ25*'Ensemble Parameters'!$B$8+BR25*'Ensemble Parameters'!$B$7</f>
        <v>-0.917154907614788</v>
      </c>
      <c r="BT25" s="16" t="n">
        <f aca="false">'Ensemble Parameters'!$B$11+'Ensemble Parameters'!$B$12*BS25</f>
        <v>90.8284509238521</v>
      </c>
      <c r="BU25" s="17" t="n">
        <f aca="false">'Ensemble Parameters'!$B$13*BS25</f>
        <v>-12.840168706607</v>
      </c>
      <c r="BV25" s="18" t="n">
        <f aca="false">RANK(BT25,$BT$5:$BT$125,0)</f>
        <v>107</v>
      </c>
      <c r="BW25" s="15" t="n">
        <f aca="false">STDEV(BM25,BN25,BQ25,BR25)</f>
        <v>0.121323525921977</v>
      </c>
      <c r="BX25" s="19" t="str">
        <f aca="false">IF(BW25&lt;'Ensemble Parameters'!$B$14,"High",IF(BW25&lt;'Ensemble Parameters'!$B$15,"Moderate","Low"))</f>
        <v>High</v>
      </c>
      <c r="BY25" s="19" t="str">
        <f aca="false">IF(BX25="Low","REVIEW — MODEL DISAGREEMENT","")</f>
        <v/>
      </c>
      <c r="BZ25" s="20" t="n">
        <v>4</v>
      </c>
    </row>
    <row r="26" customFormat="false" ht="15" hidden="false" customHeight="true" outlineLevel="0" collapsed="false">
      <c r="A26" s="7" t="s">
        <v>125</v>
      </c>
      <c r="B26" s="7" t="s">
        <v>134</v>
      </c>
      <c r="C26" s="7" t="s">
        <v>135</v>
      </c>
      <c r="D26" s="7" t="n">
        <v>90</v>
      </c>
      <c r="E26" s="7" t="s">
        <v>135</v>
      </c>
      <c r="F26" s="8" t="n">
        <v>25.333986814</v>
      </c>
      <c r="G26" s="9" t="n">
        <v>47</v>
      </c>
      <c r="H26" s="8" t="n">
        <v>4.14845109681176</v>
      </c>
      <c r="I26" s="8" t="n">
        <v>12.8886335235647</v>
      </c>
      <c r="J26" s="7" t="s">
        <v>83</v>
      </c>
      <c r="K26" s="7" t="s">
        <v>84</v>
      </c>
      <c r="L26" s="8" t="n">
        <v>-5.00676263780218</v>
      </c>
      <c r="M26" s="8" t="n">
        <v>94.9932373621978</v>
      </c>
      <c r="N26" s="9" t="n">
        <v>82</v>
      </c>
      <c r="O26" s="8" t="n">
        <v>0.432028571428571</v>
      </c>
      <c r="P26" s="8" t="n">
        <v>-1.08754285714286</v>
      </c>
      <c r="Q26" s="7" t="s">
        <v>85</v>
      </c>
      <c r="R26" s="1" t="s">
        <v>86</v>
      </c>
      <c r="S26" s="10" t="n">
        <v>0.404736</v>
      </c>
      <c r="T26" s="11" t="n">
        <v>69</v>
      </c>
      <c r="U26" s="10" t="n">
        <v>0.423791</v>
      </c>
      <c r="V26" s="11" t="n">
        <v>78</v>
      </c>
      <c r="W26" s="10" t="n">
        <v>0.411165</v>
      </c>
      <c r="X26" s="11" t="n">
        <v>75</v>
      </c>
      <c r="Y26" s="10" t="n">
        <v>0.429648134215</v>
      </c>
      <c r="Z26" s="11" t="n">
        <v>78</v>
      </c>
      <c r="AA26" s="10" t="n">
        <v>0.3689</v>
      </c>
      <c r="AB26" s="10" t="n">
        <v>0.362</v>
      </c>
      <c r="AC26" s="10" t="n">
        <v>0.4586</v>
      </c>
      <c r="AD26" s="10" t="n">
        <v>0.575</v>
      </c>
      <c r="AE26" s="10" t="n">
        <v>0.375</v>
      </c>
      <c r="AF26" s="10" t="n">
        <v>0.6191</v>
      </c>
      <c r="AG26" s="12" t="n">
        <v>13.7</v>
      </c>
      <c r="AH26" s="11" t="n">
        <v>9</v>
      </c>
      <c r="AI26" s="1" t="s">
        <v>87</v>
      </c>
      <c r="AJ26" s="12" t="n">
        <v>5.83</v>
      </c>
      <c r="AK26" s="12" t="n">
        <v>5.61</v>
      </c>
      <c r="AL26" s="12" t="n">
        <v>4.09</v>
      </c>
      <c r="AM26" s="13" t="n">
        <v>-9.15557004217678</v>
      </c>
      <c r="AN26" s="11" t="n">
        <v>64</v>
      </c>
      <c r="AO26" s="11" t="n">
        <v>13</v>
      </c>
      <c r="AP26" s="14" t="s">
        <v>88</v>
      </c>
      <c r="AQ26" s="13" t="n">
        <v>-6.40889902952374</v>
      </c>
      <c r="AR26" s="11" t="n">
        <v>66</v>
      </c>
      <c r="AS26" s="13" t="n">
        <v>-1.67373485660933</v>
      </c>
      <c r="AT26" s="13" t="n">
        <v>-8.08263388613307</v>
      </c>
      <c r="AU26" s="11" t="n">
        <v>81</v>
      </c>
      <c r="AV26" s="10"/>
      <c r="AW26" s="14" t="s">
        <v>89</v>
      </c>
      <c r="AX26" s="14" t="s">
        <v>90</v>
      </c>
      <c r="AY26" s="10" t="n">
        <v>-4.11170809234764</v>
      </c>
      <c r="AZ26" s="10" t="n">
        <v>95.8882919076524</v>
      </c>
      <c r="BA26" s="11" t="n">
        <v>69</v>
      </c>
      <c r="BB26" s="14" t="s">
        <v>91</v>
      </c>
      <c r="BC26" s="10"/>
      <c r="BD26" s="11"/>
      <c r="BE26" s="14" t="s">
        <v>92</v>
      </c>
      <c r="BF26" s="10" t="n">
        <v>0.00836914668526668</v>
      </c>
      <c r="BG26" s="11" t="n">
        <v>6</v>
      </c>
      <c r="BH26" s="11" t="n">
        <v>12</v>
      </c>
      <c r="BI26" s="11" t="n">
        <v>12</v>
      </c>
      <c r="BJ26" s="11" t="n">
        <v>0</v>
      </c>
      <c r="BK26" s="10"/>
      <c r="BL26" s="14" t="s">
        <v>93</v>
      </c>
      <c r="BM26" s="15" t="n">
        <f aca="false">(F26-'Ensemble Parameters'!$B$20)/'Ensemble Parameters'!$C$20</f>
        <v>0.0423381415722419</v>
      </c>
      <c r="BN26" s="15" t="n">
        <f aca="false">(L26-'Ensemble Parameters'!$B$21)/'Ensemble Parameters'!$C$21</f>
        <v>-0.524813562927958</v>
      </c>
      <c r="BO26" s="15" t="n">
        <f aca="false">(S26-'Ensemble Parameters'!$B$22)/'Ensemble Parameters'!$C$22</f>
        <v>-0.510399783888898</v>
      </c>
      <c r="BP26" s="15" t="n">
        <f aca="false">(W26-'Ensemble Parameters'!$B$23)/'Ensemble Parameters'!$C$23</f>
        <v>-0.60652666273413</v>
      </c>
      <c r="BQ26" s="15" t="n">
        <f aca="false">AVERAGE(BO26:BP26)</f>
        <v>-0.558463223311514</v>
      </c>
      <c r="BR26" s="15" t="n">
        <f aca="false">(AQ26-'Ensemble Parameters'!$B$24)/'Ensemble Parameters'!$C$24</f>
        <v>-0.419573812710474</v>
      </c>
      <c r="BS26" s="15" t="n">
        <f aca="false">BM26*'Ensemble Parameters'!$B$5+BN26*'Ensemble Parameters'!$B$6+BQ26*'Ensemble Parameters'!$B$8+BR26*'Ensemble Parameters'!$B$7</f>
        <v>-0.365128114344426</v>
      </c>
      <c r="BT26" s="16" t="n">
        <f aca="false">'Ensemble Parameters'!$B$11+'Ensemble Parameters'!$B$12*BS26</f>
        <v>96.3487188565557</v>
      </c>
      <c r="BU26" s="17" t="n">
        <f aca="false">'Ensemble Parameters'!$B$13*BS26</f>
        <v>-5.11179360082196</v>
      </c>
      <c r="BV26" s="18" t="n">
        <f aca="false">RANK(BT26,$BT$5:$BT$125,0)</f>
        <v>67</v>
      </c>
      <c r="BW26" s="15" t="n">
        <f aca="false">STDEV(BM26,BN26,BQ26,BR26)</f>
        <v>0.278011385036629</v>
      </c>
      <c r="BX26" s="19" t="str">
        <f aca="false">IF(BW26&lt;'Ensemble Parameters'!$B$14,"High",IF(BW26&lt;'Ensemble Parameters'!$B$15,"Moderate","Low"))</f>
        <v>High</v>
      </c>
      <c r="BY26" s="19" t="str">
        <f aca="false">IF(BX26="Low","REVIEW — MODEL DISAGREEMENT","")</f>
        <v/>
      </c>
      <c r="BZ26" s="20" t="n">
        <v>4</v>
      </c>
    </row>
    <row r="27" customFormat="false" ht="15" hidden="false" customHeight="true" outlineLevel="0" collapsed="false">
      <c r="A27" s="7" t="s">
        <v>125</v>
      </c>
      <c r="B27" s="7" t="s">
        <v>136</v>
      </c>
      <c r="C27" s="7" t="s">
        <v>137</v>
      </c>
      <c r="D27" s="7" t="n">
        <v>91</v>
      </c>
      <c r="E27" s="7" t="s">
        <v>137</v>
      </c>
      <c r="F27" s="8" t="n">
        <v>33.404559933</v>
      </c>
      <c r="G27" s="9" t="n">
        <v>8</v>
      </c>
      <c r="H27" s="8" t="n">
        <v>4.3104771366336</v>
      </c>
      <c r="I27" s="8" t="n">
        <v>20.4731285230992</v>
      </c>
      <c r="J27" s="7" t="s">
        <v>83</v>
      </c>
      <c r="K27" s="7" t="s">
        <v>84</v>
      </c>
      <c r="L27" s="8" t="n">
        <v>3.26689951146136</v>
      </c>
      <c r="M27" s="8" t="n">
        <v>103.266899511461</v>
      </c>
      <c r="N27" s="9" t="n">
        <v>32</v>
      </c>
      <c r="O27" s="8" t="n">
        <v>0.4496</v>
      </c>
      <c r="P27" s="8" t="n">
        <v>-0.8064</v>
      </c>
      <c r="Q27" s="7" t="s">
        <v>85</v>
      </c>
      <c r="R27" s="1" t="s">
        <v>86</v>
      </c>
      <c r="S27" s="10" t="n">
        <v>0.559895</v>
      </c>
      <c r="T27" s="11" t="n">
        <v>30</v>
      </c>
      <c r="U27" s="10" t="n">
        <v>0.560713</v>
      </c>
      <c r="V27" s="11" t="n">
        <v>35</v>
      </c>
      <c r="W27" s="10" t="n">
        <v>0.531727777777778</v>
      </c>
      <c r="X27" s="11" t="n">
        <v>36</v>
      </c>
      <c r="Y27" s="10" t="n">
        <v>0.535049757238889</v>
      </c>
      <c r="Z27" s="11" t="n">
        <v>35</v>
      </c>
      <c r="AA27" s="10" t="n">
        <v>0.6771</v>
      </c>
      <c r="AB27" s="10" t="n">
        <v>0.4361</v>
      </c>
      <c r="AC27" s="10" t="n">
        <v>0.3174</v>
      </c>
      <c r="AD27" s="10"/>
      <c r="AE27" s="10" t="n">
        <v>0.75</v>
      </c>
      <c r="AF27" s="10" t="n">
        <v>0.5691</v>
      </c>
      <c r="AG27" s="12" t="n">
        <v>0</v>
      </c>
      <c r="AH27" s="11" t="n">
        <v>5</v>
      </c>
      <c r="AI27" s="1" t="s">
        <v>87</v>
      </c>
      <c r="AJ27" s="12" t="n">
        <v>8.29</v>
      </c>
      <c r="AK27" s="12" t="n">
        <v>7.63</v>
      </c>
      <c r="AL27" s="12" t="n">
        <v>6.91</v>
      </c>
      <c r="AM27" s="13" t="n">
        <v>7.51853392137078</v>
      </c>
      <c r="AN27" s="11" t="n">
        <v>30</v>
      </c>
      <c r="AO27" s="11" t="n">
        <v>14</v>
      </c>
      <c r="AP27" s="14" t="s">
        <v>88</v>
      </c>
      <c r="AQ27" s="13" t="n">
        <v>5.26297374495954</v>
      </c>
      <c r="AR27" s="11" t="n">
        <v>30</v>
      </c>
      <c r="AS27" s="13" t="n">
        <v>-2.50139999920413</v>
      </c>
      <c r="AT27" s="13" t="n">
        <v>2.76157374575542</v>
      </c>
      <c r="AU27" s="11" t="n">
        <v>33</v>
      </c>
      <c r="AV27" s="10"/>
      <c r="AW27" s="14" t="s">
        <v>89</v>
      </c>
      <c r="AX27" s="14" t="s">
        <v>90</v>
      </c>
      <c r="AY27" s="10" t="n">
        <v>3.76195405691591</v>
      </c>
      <c r="AZ27" s="10" t="n">
        <v>103.761954056916</v>
      </c>
      <c r="BA27" s="11" t="n">
        <v>32</v>
      </c>
      <c r="BB27" s="14" t="s">
        <v>91</v>
      </c>
      <c r="BC27" s="10"/>
      <c r="BD27" s="11"/>
      <c r="BE27" s="14" t="s">
        <v>92</v>
      </c>
      <c r="BF27" s="10" t="n">
        <v>0.00829759157115316</v>
      </c>
      <c r="BG27" s="11" t="n">
        <v>49</v>
      </c>
      <c r="BH27" s="11" t="n">
        <v>12</v>
      </c>
      <c r="BI27" s="11" t="n">
        <v>12</v>
      </c>
      <c r="BJ27" s="11" t="n">
        <v>0</v>
      </c>
      <c r="BK27" s="10"/>
      <c r="BL27" s="14" t="s">
        <v>93</v>
      </c>
      <c r="BM27" s="15" t="n">
        <f aca="false">(F27-'Ensemble Parameters'!$B$20)/'Ensemble Parameters'!$C$20</f>
        <v>1.89368919873658</v>
      </c>
      <c r="BN27" s="15" t="n">
        <f aca="false">(L27-'Ensemble Parameters'!$B$21)/'Ensemble Parameters'!$C$21</f>
        <v>0.342439475638945</v>
      </c>
      <c r="BO27" s="15" t="n">
        <f aca="false">(S27-'Ensemble Parameters'!$B$22)/'Ensemble Parameters'!$C$22</f>
        <v>0.571622846508462</v>
      </c>
      <c r="BP27" s="15" t="n">
        <f aca="false">(W27-'Ensemble Parameters'!$B$23)/'Ensemble Parameters'!$C$23</f>
        <v>0.338140795134209</v>
      </c>
      <c r="BQ27" s="15" t="n">
        <f aca="false">AVERAGE(BO27:BP27)</f>
        <v>0.454881820821336</v>
      </c>
      <c r="BR27" s="15" t="n">
        <f aca="false">(AQ27-'Ensemble Parameters'!$B$24)/'Ensemble Parameters'!$C$24</f>
        <v>0.354896047042582</v>
      </c>
      <c r="BS27" s="15" t="n">
        <f aca="false">BM27*'Ensemble Parameters'!$B$5+BN27*'Ensemble Parameters'!$B$6+BQ27*'Ensemble Parameters'!$B$8+BR27*'Ensemble Parameters'!$B$7</f>
        <v>0.76147663555986</v>
      </c>
      <c r="BT27" s="16" t="n">
        <f aca="false">'Ensemble Parameters'!$B$11+'Ensemble Parameters'!$B$12*BS27</f>
        <v>107.614766355599</v>
      </c>
      <c r="BU27" s="17" t="n">
        <f aca="false">'Ensemble Parameters'!$B$13*BS27</f>
        <v>10.660672897838</v>
      </c>
      <c r="BV27" s="18" t="n">
        <f aca="false">RANK(BT27,$BT$5:$BT$125,0)</f>
        <v>28</v>
      </c>
      <c r="BW27" s="15" t="n">
        <f aca="false">STDEV(BM27,BN27,BQ27,BR27)</f>
        <v>0.756484321272509</v>
      </c>
      <c r="BX27" s="19" t="str">
        <f aca="false">IF(BW27&lt;'Ensemble Parameters'!$B$14,"High",IF(BW27&lt;'Ensemble Parameters'!$B$15,"Moderate","Low"))</f>
        <v>Low</v>
      </c>
      <c r="BY27" s="19" t="str">
        <f aca="false">IF(BX27="Low","REVIEW — MODEL DISAGREEMENT","")</f>
        <v>REVIEW — MODEL DISAGREEMENT</v>
      </c>
      <c r="BZ27" s="20" t="n">
        <v>4</v>
      </c>
    </row>
    <row r="28" customFormat="false" ht="15" hidden="false" customHeight="true" outlineLevel="0" collapsed="false">
      <c r="A28" s="7" t="s">
        <v>125</v>
      </c>
      <c r="B28" s="7" t="s">
        <v>138</v>
      </c>
      <c r="C28" s="7" t="s">
        <v>139</v>
      </c>
      <c r="D28" s="7" t="n">
        <v>92</v>
      </c>
      <c r="E28" s="7" t="s">
        <v>139</v>
      </c>
      <c r="F28" s="8" t="n">
        <v>23.977170241</v>
      </c>
      <c r="G28" s="9" t="n">
        <v>58</v>
      </c>
      <c r="H28" s="8" t="n">
        <v>4.04679316511443</v>
      </c>
      <c r="I28" s="8" t="n">
        <v>11.8367907456567</v>
      </c>
      <c r="J28" s="7" t="s">
        <v>83</v>
      </c>
      <c r="K28" s="7" t="s">
        <v>84</v>
      </c>
      <c r="L28" s="8" t="n">
        <v>-8.29446890469234</v>
      </c>
      <c r="M28" s="8" t="n">
        <v>91.7055310953077</v>
      </c>
      <c r="N28" s="9" t="n">
        <v>96</v>
      </c>
      <c r="O28" s="8" t="n">
        <v>0.476038095238095</v>
      </c>
      <c r="P28" s="8" t="n">
        <v>-0.383390476190476</v>
      </c>
      <c r="Q28" s="7" t="s">
        <v>85</v>
      </c>
      <c r="R28" s="1" t="s">
        <v>86</v>
      </c>
      <c r="S28" s="10" t="n">
        <v>0.36194</v>
      </c>
      <c r="T28" s="11" t="n">
        <v>97</v>
      </c>
      <c r="U28" s="10" t="n">
        <v>0.355607</v>
      </c>
      <c r="V28" s="11" t="n">
        <v>100</v>
      </c>
      <c r="W28" s="10" t="n">
        <v>0.3865</v>
      </c>
      <c r="X28" s="11" t="n">
        <v>102</v>
      </c>
      <c r="Y28" s="10" t="n">
        <v>0.3779844338</v>
      </c>
      <c r="Z28" s="11" t="n">
        <v>100</v>
      </c>
      <c r="AA28" s="10" t="n">
        <v>0.2122</v>
      </c>
      <c r="AB28" s="10" t="n">
        <v>0.4963</v>
      </c>
      <c r="AC28" s="10" t="n">
        <v>0.4356</v>
      </c>
      <c r="AD28" s="10" t="n">
        <v>0.2907</v>
      </c>
      <c r="AE28" s="10" t="n">
        <v>0.75</v>
      </c>
      <c r="AF28" s="10" t="n">
        <v>0.2907</v>
      </c>
      <c r="AG28" s="12" t="n">
        <v>9.59</v>
      </c>
      <c r="AH28" s="11" t="n">
        <v>3</v>
      </c>
      <c r="AI28" s="1" t="s">
        <v>87</v>
      </c>
      <c r="AJ28" s="12" t="n">
        <v>5.09</v>
      </c>
      <c r="AK28" s="12" t="n">
        <v>5.3</v>
      </c>
      <c r="AL28" s="12" t="n">
        <v>6.32</v>
      </c>
      <c r="AM28" s="13" t="n">
        <v>-17.1521599603099</v>
      </c>
      <c r="AN28" s="11" t="n">
        <v>89</v>
      </c>
      <c r="AO28" s="11" t="n">
        <v>13</v>
      </c>
      <c r="AP28" s="14" t="s">
        <v>88</v>
      </c>
      <c r="AQ28" s="13" t="n">
        <v>-12.0065119722169</v>
      </c>
      <c r="AR28" s="11" t="n">
        <v>91</v>
      </c>
      <c r="AS28" s="13" t="n">
        <v>-0.388216889975699</v>
      </c>
      <c r="AT28" s="13" t="n">
        <v>-12.3947288621926</v>
      </c>
      <c r="AU28" s="11" t="n">
        <v>97</v>
      </c>
      <c r="AV28" s="10"/>
      <c r="AW28" s="14" t="s">
        <v>89</v>
      </c>
      <c r="AX28" s="14" t="s">
        <v>90</v>
      </c>
      <c r="AY28" s="10" t="n">
        <v>-10.0266143592378</v>
      </c>
      <c r="AZ28" s="10" t="n">
        <v>89.9733856407622</v>
      </c>
      <c r="BA28" s="11" t="n">
        <v>107</v>
      </c>
      <c r="BB28" s="14" t="s">
        <v>91</v>
      </c>
      <c r="BC28" s="10"/>
      <c r="BD28" s="11"/>
      <c r="BE28" s="14" t="s">
        <v>92</v>
      </c>
      <c r="BF28" s="10" t="n">
        <v>0.00831766711689694</v>
      </c>
      <c r="BG28" s="11" t="n">
        <v>31</v>
      </c>
      <c r="BH28" s="11" t="n">
        <v>12</v>
      </c>
      <c r="BI28" s="11" t="n">
        <v>12</v>
      </c>
      <c r="BJ28" s="11" t="n">
        <v>0</v>
      </c>
      <c r="BK28" s="10"/>
      <c r="BL28" s="14" t="s">
        <v>93</v>
      </c>
      <c r="BM28" s="15" t="n">
        <f aca="false">(F28-'Ensemble Parameters'!$B$20)/'Ensemble Parameters'!$C$20</f>
        <v>-0.268909121758778</v>
      </c>
      <c r="BN28" s="15" t="n">
        <f aca="false">(L28-'Ensemble Parameters'!$B$21)/'Ensemble Parameters'!$C$21</f>
        <v>-0.86943402221632</v>
      </c>
      <c r="BO28" s="15" t="n">
        <f aca="false">(S28-'Ensemble Parameters'!$B$22)/'Ensemble Parameters'!$C$22</f>
        <v>-0.808843576968806</v>
      </c>
      <c r="BP28" s="15" t="n">
        <f aca="false">(W28-'Ensemble Parameters'!$B$23)/'Ensemble Parameters'!$C$23</f>
        <v>-0.799788822729064</v>
      </c>
      <c r="BQ28" s="15" t="n">
        <f aca="false">AVERAGE(BO28:BP28)</f>
        <v>-0.804316199848935</v>
      </c>
      <c r="BR28" s="15" t="n">
        <f aca="false">(AQ28-'Ensemble Parameters'!$B$24)/'Ensemble Parameters'!$C$24</f>
        <v>-0.790995142812436</v>
      </c>
      <c r="BS28" s="15" t="n">
        <f aca="false">BM28*'Ensemble Parameters'!$B$5+BN28*'Ensemble Parameters'!$B$6+BQ28*'Ensemble Parameters'!$B$8+BR28*'Ensemble Parameters'!$B$7</f>
        <v>-0.683413621659117</v>
      </c>
      <c r="BT28" s="16" t="n">
        <f aca="false">'Ensemble Parameters'!$B$11+'Ensemble Parameters'!$B$12*BS28</f>
        <v>93.1658637834088</v>
      </c>
      <c r="BU28" s="17" t="n">
        <f aca="false">'Ensemble Parameters'!$B$13*BS28</f>
        <v>-9.56779070322764</v>
      </c>
      <c r="BV28" s="18" t="n">
        <f aca="false">RANK(BT28,$BT$5:$BT$125,0)</f>
        <v>87</v>
      </c>
      <c r="BW28" s="15" t="n">
        <f aca="false">STDEV(BM28,BN28,BQ28,BR28)</f>
        <v>0.278453339578764</v>
      </c>
      <c r="BX28" s="19" t="str">
        <f aca="false">IF(BW28&lt;'Ensemble Parameters'!$B$14,"High",IF(BW28&lt;'Ensemble Parameters'!$B$15,"Moderate","Low"))</f>
        <v>High</v>
      </c>
      <c r="BY28" s="19" t="str">
        <f aca="false">IF(BX28="Low","REVIEW — MODEL DISAGREEMENT","")</f>
        <v/>
      </c>
      <c r="BZ28" s="20" t="n">
        <v>4</v>
      </c>
    </row>
    <row r="29" customFormat="false" ht="15" hidden="false" customHeight="true" outlineLevel="0" collapsed="false">
      <c r="A29" s="7" t="s">
        <v>125</v>
      </c>
      <c r="B29" s="7" t="s">
        <v>140</v>
      </c>
      <c r="C29" s="7" t="s">
        <v>141</v>
      </c>
      <c r="D29" s="7" t="n">
        <v>93</v>
      </c>
      <c r="E29" s="7" t="s">
        <v>141</v>
      </c>
      <c r="F29" s="8" t="n">
        <v>27.92481735</v>
      </c>
      <c r="G29" s="9" t="n">
        <v>31</v>
      </c>
      <c r="H29" s="8" t="n">
        <v>4.03232453071839</v>
      </c>
      <c r="I29" s="8" t="n">
        <v>15.8278437578448</v>
      </c>
      <c r="J29" s="7" t="s">
        <v>83</v>
      </c>
      <c r="K29" s="7" t="s">
        <v>84</v>
      </c>
      <c r="L29" s="8" t="n">
        <v>-2.7326548994125</v>
      </c>
      <c r="M29" s="8" t="n">
        <v>97.2673451005875</v>
      </c>
      <c r="N29" s="9" t="n">
        <v>59</v>
      </c>
      <c r="O29" s="8" t="n">
        <v>0.369209523809524</v>
      </c>
      <c r="P29" s="8" t="n">
        <v>-2.09264761904762</v>
      </c>
      <c r="Q29" s="7" t="s">
        <v>85</v>
      </c>
      <c r="R29" s="1" t="s">
        <v>86</v>
      </c>
      <c r="S29" s="10" t="n">
        <v>0.42906</v>
      </c>
      <c r="T29" s="11" t="n">
        <v>66</v>
      </c>
      <c r="U29" s="10" t="n">
        <v>0.433553</v>
      </c>
      <c r="V29" s="11" t="n">
        <v>74</v>
      </c>
      <c r="W29" s="10" t="n">
        <v>0.42629</v>
      </c>
      <c r="X29" s="11" t="n">
        <v>74</v>
      </c>
      <c r="Y29" s="10" t="n">
        <v>0.43102867259</v>
      </c>
      <c r="Z29" s="11" t="n">
        <v>74</v>
      </c>
      <c r="AA29" s="10" t="n">
        <v>0.5076</v>
      </c>
      <c r="AB29" s="10" t="n">
        <v>0.2884</v>
      </c>
      <c r="AC29" s="10" t="n">
        <v>0.4542</v>
      </c>
      <c r="AD29" s="10" t="n">
        <v>0.399</v>
      </c>
      <c r="AE29" s="10" t="n">
        <v>0.375</v>
      </c>
      <c r="AF29" s="10" t="n">
        <v>0.4796</v>
      </c>
      <c r="AG29" s="12" t="n">
        <v>12.86</v>
      </c>
      <c r="AH29" s="11" t="n">
        <v>8</v>
      </c>
      <c r="AI29" s="1" t="s">
        <v>87</v>
      </c>
      <c r="AJ29" s="12" t="n">
        <v>5.73</v>
      </c>
      <c r="AK29" s="12" t="n">
        <v>5.47</v>
      </c>
      <c r="AL29" s="12" t="n">
        <v>4.04</v>
      </c>
      <c r="AM29" s="13" t="n">
        <v>-2.10128847354503</v>
      </c>
      <c r="AN29" s="11" t="n">
        <v>44</v>
      </c>
      <c r="AO29" s="11" t="n">
        <v>14</v>
      </c>
      <c r="AP29" s="14" t="s">
        <v>88</v>
      </c>
      <c r="AQ29" s="13" t="n">
        <v>-1.47090193148152</v>
      </c>
      <c r="AR29" s="11" t="n">
        <v>44</v>
      </c>
      <c r="AS29" s="13" t="n">
        <v>-2.9698938478336</v>
      </c>
      <c r="AT29" s="13" t="n">
        <v>-4.44079577931512</v>
      </c>
      <c r="AU29" s="11" t="n">
        <v>54</v>
      </c>
      <c r="AV29" s="10"/>
      <c r="AW29" s="14" t="s">
        <v>89</v>
      </c>
      <c r="AX29" s="14" t="s">
        <v>90</v>
      </c>
      <c r="AY29" s="10" t="n">
        <v>-2.95360035395795</v>
      </c>
      <c r="AZ29" s="10" t="n">
        <v>97.0463996460421</v>
      </c>
      <c r="BA29" s="11" t="n">
        <v>62</v>
      </c>
      <c r="BB29" s="14" t="s">
        <v>91</v>
      </c>
      <c r="BC29" s="10"/>
      <c r="BD29" s="11"/>
      <c r="BE29" s="14" t="s">
        <v>92</v>
      </c>
      <c r="BF29" s="10" t="n">
        <v>0.00835739956979434</v>
      </c>
      <c r="BG29" s="11" t="n">
        <v>13</v>
      </c>
      <c r="BH29" s="11" t="n">
        <v>12</v>
      </c>
      <c r="BI29" s="11" t="n">
        <v>12</v>
      </c>
      <c r="BJ29" s="11" t="n">
        <v>0</v>
      </c>
      <c r="BK29" s="10"/>
      <c r="BL29" s="14" t="s">
        <v>93</v>
      </c>
      <c r="BM29" s="15" t="n">
        <f aca="false">(F29-'Ensemble Parameters'!$B$20)/'Ensemble Parameters'!$C$20</f>
        <v>0.636662334046886</v>
      </c>
      <c r="BN29" s="15" t="n">
        <f aca="false">(L29-'Ensemble Parameters'!$B$21)/'Ensemble Parameters'!$C$21</f>
        <v>-0.286439453547324</v>
      </c>
      <c r="BO29" s="15" t="n">
        <f aca="false">(S29-'Ensemble Parameters'!$B$22)/'Ensemble Parameters'!$C$22</f>
        <v>-0.340773023844135</v>
      </c>
      <c r="BP29" s="15" t="n">
        <f aca="false">(W29-'Ensemble Parameters'!$B$23)/'Ensemble Parameters'!$C$23</f>
        <v>-0.488014999651893</v>
      </c>
      <c r="BQ29" s="15" t="n">
        <f aca="false">AVERAGE(BO29:BP29)</f>
        <v>-0.414394011748014</v>
      </c>
      <c r="BR29" s="15" t="n">
        <f aca="false">(AQ29-'Ensemble Parameters'!$B$24)/'Ensemble Parameters'!$C$24</f>
        <v>-0.0919203166629161</v>
      </c>
      <c r="BS29" s="15" t="n">
        <f aca="false">BM29*'Ensemble Parameters'!$B$5+BN29*'Ensemble Parameters'!$B$6+BQ29*'Ensemble Parameters'!$B$8+BR29*'Ensemble Parameters'!$B$7</f>
        <v>-0.0390228619778419</v>
      </c>
      <c r="BT29" s="16" t="n">
        <f aca="false">'Ensemble Parameters'!$B$11+'Ensemble Parameters'!$B$12*BS29</f>
        <v>99.6097713802216</v>
      </c>
      <c r="BU29" s="17" t="n">
        <f aca="false">'Ensemble Parameters'!$B$13*BS29</f>
        <v>-0.546320067689786</v>
      </c>
      <c r="BV29" s="18" t="n">
        <f aca="false">RANK(BT29,$BT$5:$BT$125,0)</f>
        <v>46</v>
      </c>
      <c r="BW29" s="15" t="n">
        <f aca="false">STDEV(BM29,BN29,BQ29,BR29)</f>
        <v>0.469562596005678</v>
      </c>
      <c r="BX29" s="19" t="str">
        <f aca="false">IF(BW29&lt;'Ensemble Parameters'!$B$14,"High",IF(BW29&lt;'Ensemble Parameters'!$B$15,"Moderate","Low"))</f>
        <v>Moderate</v>
      </c>
      <c r="BY29" s="19" t="str">
        <f aca="false">IF(BX29="Low","REVIEW — MODEL DISAGREEMENT","")</f>
        <v/>
      </c>
      <c r="BZ29" s="20" t="n">
        <v>4</v>
      </c>
    </row>
    <row r="30" customFormat="false" ht="15" hidden="false" customHeight="true" outlineLevel="0" collapsed="false">
      <c r="A30" s="7" t="s">
        <v>125</v>
      </c>
      <c r="B30" s="7" t="s">
        <v>142</v>
      </c>
      <c r="C30" s="7" t="s">
        <v>143</v>
      </c>
      <c r="D30" s="7" t="n">
        <v>94</v>
      </c>
      <c r="E30" s="7" t="s">
        <v>143</v>
      </c>
      <c r="F30" s="8" t="n">
        <v>21.885029148</v>
      </c>
      <c r="G30" s="9" t="n">
        <v>90</v>
      </c>
      <c r="H30" s="8" t="n">
        <v>4.10369217494098</v>
      </c>
      <c r="I30" s="8" t="n">
        <v>9.57395262317705</v>
      </c>
      <c r="J30" s="7" t="s">
        <v>83</v>
      </c>
      <c r="K30" s="7" t="s">
        <v>84</v>
      </c>
      <c r="L30" s="8" t="n">
        <v>-10.1218938709459</v>
      </c>
      <c r="M30" s="8" t="n">
        <v>89.8781061290542</v>
      </c>
      <c r="N30" s="9" t="n">
        <v>112</v>
      </c>
      <c r="O30" s="8" t="n">
        <v>0.465209523809524</v>
      </c>
      <c r="P30" s="8" t="n">
        <v>-0.556647619047618</v>
      </c>
      <c r="Q30" s="7" t="s">
        <v>85</v>
      </c>
      <c r="R30" s="1" t="s">
        <v>86</v>
      </c>
      <c r="S30" s="10" t="n">
        <v>0.323145</v>
      </c>
      <c r="T30" s="11" t="n">
        <v>110</v>
      </c>
      <c r="U30" s="10" t="n">
        <v>0.322883</v>
      </c>
      <c r="V30" s="11" t="n">
        <v>112</v>
      </c>
      <c r="W30" s="10" t="n">
        <v>0.35404</v>
      </c>
      <c r="X30" s="11" t="n">
        <v>106</v>
      </c>
      <c r="Y30" s="10" t="n">
        <v>0.35103199624</v>
      </c>
      <c r="Z30" s="11" t="n">
        <v>112</v>
      </c>
      <c r="AA30" s="10" t="n">
        <v>0.1367</v>
      </c>
      <c r="AB30" s="10" t="n">
        <v>0.3918</v>
      </c>
      <c r="AC30" s="10" t="n">
        <v>0.4321</v>
      </c>
      <c r="AD30" s="10" t="n">
        <v>0.4481</v>
      </c>
      <c r="AE30" s="10" t="n">
        <v>0.75</v>
      </c>
      <c r="AF30" s="10" t="n">
        <v>0.3202</v>
      </c>
      <c r="AG30" s="12" t="n">
        <v>9.03</v>
      </c>
      <c r="AH30" s="11" t="n">
        <v>2</v>
      </c>
      <c r="AI30" s="1" t="s">
        <v>87</v>
      </c>
      <c r="AJ30" s="12" t="n">
        <v>4.11</v>
      </c>
      <c r="AK30" s="12" t="n">
        <v>4.36</v>
      </c>
      <c r="AL30" s="12" t="n">
        <v>4.86</v>
      </c>
      <c r="AM30" s="13" t="n">
        <v>-20.8108963306583</v>
      </c>
      <c r="AN30" s="11" t="n">
        <v>111</v>
      </c>
      <c r="AO30" s="11" t="n">
        <v>12</v>
      </c>
      <c r="AP30" s="14" t="s">
        <v>88</v>
      </c>
      <c r="AQ30" s="13" t="n">
        <v>-14.5676274314608</v>
      </c>
      <c r="AR30" s="11" t="n">
        <v>113</v>
      </c>
      <c r="AS30" s="13" t="n">
        <v>-0.254520452053921</v>
      </c>
      <c r="AT30" s="13" t="n">
        <v>-14.8221478835147</v>
      </c>
      <c r="AU30" s="11" t="n">
        <v>111</v>
      </c>
      <c r="AV30" s="10"/>
      <c r="AW30" s="14" t="s">
        <v>89</v>
      </c>
      <c r="AX30" s="14" t="s">
        <v>90</v>
      </c>
      <c r="AY30" s="10" t="n">
        <v>-11.6180393254913</v>
      </c>
      <c r="AZ30" s="10" t="n">
        <v>88.3819606745087</v>
      </c>
      <c r="BA30" s="11" t="n">
        <v>114</v>
      </c>
      <c r="BB30" s="14" t="s">
        <v>91</v>
      </c>
      <c r="BC30" s="10"/>
      <c r="BD30" s="11"/>
      <c r="BE30" s="14" t="s">
        <v>92</v>
      </c>
      <c r="BF30" s="10" t="n">
        <v>0.00832669875383169</v>
      </c>
      <c r="BG30" s="11" t="n">
        <v>23</v>
      </c>
      <c r="BH30" s="11" t="n">
        <v>12</v>
      </c>
      <c r="BI30" s="11" t="n">
        <v>12</v>
      </c>
      <c r="BJ30" s="11" t="n">
        <v>0</v>
      </c>
      <c r="BK30" s="10"/>
      <c r="BL30" s="14" t="s">
        <v>93</v>
      </c>
      <c r="BM30" s="15" t="n">
        <f aca="false">(F30-'Ensemble Parameters'!$B$20)/'Ensemble Parameters'!$C$20</f>
        <v>-0.748836329796071</v>
      </c>
      <c r="BN30" s="15" t="n">
        <f aca="false">(L30-'Ensemble Parameters'!$B$21)/'Ensemble Parameters'!$C$21</f>
        <v>-1.06098642381849</v>
      </c>
      <c r="BO30" s="15" t="n">
        <f aca="false">(S30-'Ensemble Parameters'!$B$22)/'Ensemble Parameters'!$C$22</f>
        <v>-1.07938584616534</v>
      </c>
      <c r="BP30" s="15" t="n">
        <f aca="false">(W30-'Ensemble Parameters'!$B$23)/'Ensemble Parameters'!$C$23</f>
        <v>-1.05412856379679</v>
      </c>
      <c r="BQ30" s="15" t="n">
        <f aca="false">AVERAGE(BO30:BP30)</f>
        <v>-1.06675720498107</v>
      </c>
      <c r="BR30" s="15" t="n">
        <f aca="false">(AQ30-'Ensemble Parameters'!$B$24)/'Ensemble Parameters'!$C$24</f>
        <v>-0.960934172208669</v>
      </c>
      <c r="BS30" s="15" t="n">
        <f aca="false">BM30*'Ensemble Parameters'!$B$5+BN30*'Ensemble Parameters'!$B$6+BQ30*'Ensemble Parameters'!$B$8+BR30*'Ensemble Parameters'!$B$7</f>
        <v>-0.959378532701075</v>
      </c>
      <c r="BT30" s="16" t="n">
        <f aca="false">'Ensemble Parameters'!$B$11+'Ensemble Parameters'!$B$12*BS30</f>
        <v>90.4062146729893</v>
      </c>
      <c r="BU30" s="17" t="n">
        <f aca="false">'Ensemble Parameters'!$B$13*BS30</f>
        <v>-13.4312994578151</v>
      </c>
      <c r="BV30" s="18" t="n">
        <f aca="false">RANK(BT30,$BT$5:$BT$125,0)</f>
        <v>109</v>
      </c>
      <c r="BW30" s="15" t="n">
        <f aca="false">STDEV(BM30,BN30,BQ30,BR30)</f>
        <v>0.148531457965771</v>
      </c>
      <c r="BX30" s="19" t="str">
        <f aca="false">IF(BW30&lt;'Ensemble Parameters'!$B$14,"High",IF(BW30&lt;'Ensemble Parameters'!$B$15,"Moderate","Low"))</f>
        <v>High</v>
      </c>
      <c r="BY30" s="19" t="str">
        <f aca="false">IF(BX30="Low","REVIEW — MODEL DISAGREEMENT","")</f>
        <v/>
      </c>
      <c r="BZ30" s="20" t="n">
        <v>4</v>
      </c>
    </row>
    <row r="31" customFormat="false" ht="15" hidden="false" customHeight="true" outlineLevel="0" collapsed="false">
      <c r="A31" s="7" t="s">
        <v>125</v>
      </c>
      <c r="B31" s="7" t="s">
        <v>144</v>
      </c>
      <c r="C31" s="7" t="s">
        <v>145</v>
      </c>
      <c r="D31" s="7" t="n">
        <v>95</v>
      </c>
      <c r="E31" s="7" t="s">
        <v>145</v>
      </c>
      <c r="F31" s="8" t="n">
        <v>21.622357011</v>
      </c>
      <c r="G31" s="9" t="n">
        <v>98</v>
      </c>
      <c r="H31" s="8" t="n">
        <v>4.26066978067865</v>
      </c>
      <c r="I31" s="8" t="n">
        <v>8.84034766896404</v>
      </c>
      <c r="J31" s="7" t="s">
        <v>83</v>
      </c>
      <c r="K31" s="7" t="s">
        <v>84</v>
      </c>
      <c r="L31" s="8" t="n">
        <v>-3.7927017814757</v>
      </c>
      <c r="M31" s="8" t="n">
        <v>96.2072982185243</v>
      </c>
      <c r="N31" s="9" t="n">
        <v>70</v>
      </c>
      <c r="O31" s="8" t="n">
        <v>0.448619047619048</v>
      </c>
      <c r="P31" s="8" t="n">
        <v>-0.822095238095238</v>
      </c>
      <c r="Q31" s="7" t="s">
        <v>85</v>
      </c>
      <c r="R31" s="1" t="s">
        <v>86</v>
      </c>
      <c r="S31" s="10" t="n">
        <v>0.383969</v>
      </c>
      <c r="T31" s="11" t="n">
        <v>76</v>
      </c>
      <c r="U31" s="10" t="n">
        <v>0.414807</v>
      </c>
      <c r="V31" s="11" t="n">
        <v>83</v>
      </c>
      <c r="W31" s="10" t="n">
        <v>0.396465</v>
      </c>
      <c r="X31" s="11" t="n">
        <v>76</v>
      </c>
      <c r="Y31" s="10" t="n">
        <v>0.426192592715</v>
      </c>
      <c r="Z31" s="11" t="n">
        <v>83</v>
      </c>
      <c r="AA31" s="10" t="n">
        <v>0.2991</v>
      </c>
      <c r="AB31" s="10" t="n">
        <v>0.4029</v>
      </c>
      <c r="AC31" s="10" t="n">
        <v>0.4688</v>
      </c>
      <c r="AD31" s="10" t="n">
        <v>0.565</v>
      </c>
      <c r="AE31" s="10" t="n">
        <v>0.375</v>
      </c>
      <c r="AF31" s="10" t="n">
        <v>0.7309</v>
      </c>
      <c r="AG31" s="12" t="n">
        <v>15.75</v>
      </c>
      <c r="AH31" s="11" t="n">
        <v>7</v>
      </c>
      <c r="AI31" s="1" t="s">
        <v>87</v>
      </c>
      <c r="AJ31" s="12" t="n">
        <v>6.17</v>
      </c>
      <c r="AK31" s="12" t="n">
        <v>6.14</v>
      </c>
      <c r="AL31" s="12" t="n">
        <v>5.05</v>
      </c>
      <c r="AM31" s="13" t="n">
        <v>-6.63799058484956</v>
      </c>
      <c r="AN31" s="11" t="n">
        <v>56</v>
      </c>
      <c r="AO31" s="11" t="n">
        <v>12</v>
      </c>
      <c r="AP31" s="14" t="s">
        <v>88</v>
      </c>
      <c r="AQ31" s="13" t="n">
        <v>-4.64659340939469</v>
      </c>
      <c r="AR31" s="11" t="n">
        <v>56</v>
      </c>
      <c r="AS31" s="13" t="n">
        <v>-1.1887666650673</v>
      </c>
      <c r="AT31" s="13" t="n">
        <v>-5.83536007446199</v>
      </c>
      <c r="AU31" s="11" t="n">
        <v>65</v>
      </c>
      <c r="AV31" s="10"/>
      <c r="AW31" s="14" t="s">
        <v>89</v>
      </c>
      <c r="AX31" s="14" t="s">
        <v>90</v>
      </c>
      <c r="AY31" s="10" t="n">
        <v>-2.00324723602116</v>
      </c>
      <c r="AZ31" s="10" t="n">
        <v>97.9967527639789</v>
      </c>
      <c r="BA31" s="11" t="n">
        <v>52</v>
      </c>
      <c r="BB31" s="14" t="s">
        <v>91</v>
      </c>
      <c r="BC31" s="10"/>
      <c r="BD31" s="11"/>
      <c r="BE31" s="14" t="s">
        <v>92</v>
      </c>
      <c r="BF31" s="10" t="n">
        <v>0.00828823271672166</v>
      </c>
      <c r="BG31" s="11" t="n">
        <v>64</v>
      </c>
      <c r="BH31" s="11" t="n">
        <v>12</v>
      </c>
      <c r="BI31" s="11" t="n">
        <v>12</v>
      </c>
      <c r="BJ31" s="11" t="n">
        <v>0</v>
      </c>
      <c r="BK31" s="10"/>
      <c r="BL31" s="14" t="s">
        <v>93</v>
      </c>
      <c r="BM31" s="15" t="n">
        <f aca="false">(F31-'Ensemble Parameters'!$B$20)/'Ensemble Parameters'!$C$20</f>
        <v>-0.809092067691278</v>
      </c>
      <c r="BN31" s="15" t="n">
        <f aca="false">(L31-'Ensemble Parameters'!$B$21)/'Ensemble Parameters'!$C$21</f>
        <v>-0.397554563507973</v>
      </c>
      <c r="BO31" s="15" t="n">
        <f aca="false">(S31-'Ensemble Parameters'!$B$22)/'Ensemble Parameters'!$C$22</f>
        <v>-0.655221315127575</v>
      </c>
      <c r="BP31" s="15" t="n">
        <f aca="false">(W31-'Ensemble Parameters'!$B$23)/'Ensemble Parameters'!$C$23</f>
        <v>-0.721708246027279</v>
      </c>
      <c r="BQ31" s="15" t="n">
        <f aca="false">AVERAGE(BO31:BP31)</f>
        <v>-0.688464780577427</v>
      </c>
      <c r="BR31" s="15" t="n">
        <f aca="false">(AQ31-'Ensemble Parameters'!$B$24)/'Ensemble Parameters'!$C$24</f>
        <v>-0.30263862905707</v>
      </c>
      <c r="BS31" s="15" t="n">
        <f aca="false">BM31*'Ensemble Parameters'!$B$5+BN31*'Ensemble Parameters'!$B$6+BQ31*'Ensemble Parameters'!$B$8+BR31*'Ensemble Parameters'!$B$7</f>
        <v>-0.549437510208437</v>
      </c>
      <c r="BT31" s="16" t="n">
        <f aca="false">'Ensemble Parameters'!$B$11+'Ensemble Parameters'!$B$12*BS31</f>
        <v>94.5056248979156</v>
      </c>
      <c r="BU31" s="17" t="n">
        <f aca="false">'Ensemble Parameters'!$B$13*BS31</f>
        <v>-7.69212514291812</v>
      </c>
      <c r="BV31" s="18" t="n">
        <f aca="false">RANK(BT31,$BT$5:$BT$125,0)</f>
        <v>76</v>
      </c>
      <c r="BW31" s="15" t="n">
        <f aca="false">STDEV(BM31,BN31,BQ31,BR31)</f>
        <v>0.23855620467292</v>
      </c>
      <c r="BX31" s="19" t="str">
        <f aca="false">IF(BW31&lt;'Ensemble Parameters'!$B$14,"High",IF(BW31&lt;'Ensemble Parameters'!$B$15,"Moderate","Low"))</f>
        <v>High</v>
      </c>
      <c r="BY31" s="19" t="str">
        <f aca="false">IF(BX31="Low","REVIEW — MODEL DISAGREEMENT","")</f>
        <v/>
      </c>
      <c r="BZ31" s="20" t="n">
        <v>4</v>
      </c>
    </row>
    <row r="32" customFormat="false" ht="15" hidden="false" customHeight="true" outlineLevel="0" collapsed="false">
      <c r="A32" s="7" t="s">
        <v>125</v>
      </c>
      <c r="B32" s="7" t="s">
        <v>146</v>
      </c>
      <c r="C32" s="7" t="s">
        <v>147</v>
      </c>
      <c r="D32" s="7" t="n">
        <v>96</v>
      </c>
      <c r="E32" s="7" t="s">
        <v>147</v>
      </c>
      <c r="F32" s="8" t="n">
        <v>22.331904311</v>
      </c>
      <c r="G32" s="9" t="n">
        <v>83</v>
      </c>
      <c r="H32" s="8" t="n">
        <v>4.23215042013422</v>
      </c>
      <c r="I32" s="8" t="n">
        <v>9.63545305059733</v>
      </c>
      <c r="J32" s="7" t="s">
        <v>83</v>
      </c>
      <c r="K32" s="7" t="s">
        <v>84</v>
      </c>
      <c r="L32" s="8" t="n">
        <v>-8.50827919537111</v>
      </c>
      <c r="M32" s="8" t="n">
        <v>91.4917208046289</v>
      </c>
      <c r="N32" s="9" t="n">
        <v>99</v>
      </c>
      <c r="O32" s="8" t="n">
        <v>0.363628571428572</v>
      </c>
      <c r="P32" s="8" t="n">
        <v>-2.18194285714286</v>
      </c>
      <c r="Q32" s="7" t="s">
        <v>85</v>
      </c>
      <c r="R32" s="1" t="s">
        <v>86</v>
      </c>
      <c r="S32" s="10" t="n">
        <v>0.29084</v>
      </c>
      <c r="T32" s="11" t="n">
        <v>116</v>
      </c>
      <c r="U32" s="10" t="n">
        <v>0.296365</v>
      </c>
      <c r="V32" s="11" t="n">
        <v>119</v>
      </c>
      <c r="W32" s="10" t="n">
        <v>0.313035</v>
      </c>
      <c r="X32" s="11" t="n">
        <v>118</v>
      </c>
      <c r="Y32" s="10" t="n">
        <v>0.316587448885</v>
      </c>
      <c r="Z32" s="11" t="n">
        <v>119</v>
      </c>
      <c r="AA32" s="10" t="n">
        <v>0.1953</v>
      </c>
      <c r="AB32" s="10" t="n">
        <v>0.2514</v>
      </c>
      <c r="AC32" s="10" t="n">
        <v>0.444</v>
      </c>
      <c r="AD32" s="10" t="n">
        <v>0.459</v>
      </c>
      <c r="AE32" s="10" t="n">
        <v>0.375</v>
      </c>
      <c r="AF32" s="10" t="n">
        <v>0.353</v>
      </c>
      <c r="AG32" s="12" t="n">
        <v>11.01</v>
      </c>
      <c r="AH32" s="11" t="n">
        <v>3</v>
      </c>
      <c r="AI32" s="1" t="s">
        <v>87</v>
      </c>
      <c r="AJ32" s="12" t="n">
        <v>3.89</v>
      </c>
      <c r="AK32" s="12" t="n">
        <v>4.06</v>
      </c>
      <c r="AL32" s="12" t="n">
        <v>3.54</v>
      </c>
      <c r="AM32" s="13" t="n">
        <v>-13.3648595732296</v>
      </c>
      <c r="AN32" s="11" t="n">
        <v>85</v>
      </c>
      <c r="AO32" s="11" t="n">
        <v>12</v>
      </c>
      <c r="AP32" s="14" t="s">
        <v>88</v>
      </c>
      <c r="AQ32" s="13" t="n">
        <v>-9.35540170126074</v>
      </c>
      <c r="AR32" s="11" t="n">
        <v>87</v>
      </c>
      <c r="AS32" s="13" t="n">
        <v>-1.92086645312456</v>
      </c>
      <c r="AT32" s="13" t="n">
        <v>-11.2762681543853</v>
      </c>
      <c r="AU32" s="11" t="n">
        <v>91</v>
      </c>
      <c r="AV32" s="10"/>
      <c r="AW32" s="14" t="s">
        <v>89</v>
      </c>
      <c r="AX32" s="14" t="s">
        <v>90</v>
      </c>
      <c r="AY32" s="10" t="n">
        <v>-9.74202464991656</v>
      </c>
      <c r="AZ32" s="10" t="n">
        <v>90.2579753500834</v>
      </c>
      <c r="BA32" s="11" t="n">
        <v>103</v>
      </c>
      <c r="BB32" s="14" t="s">
        <v>91</v>
      </c>
      <c r="BC32" s="10"/>
      <c r="BD32" s="11"/>
      <c r="BE32" s="14" t="s">
        <v>92</v>
      </c>
      <c r="BF32" s="10" t="n">
        <v>0.00830218746093026</v>
      </c>
      <c r="BG32" s="11" t="n">
        <v>41</v>
      </c>
      <c r="BH32" s="11" t="n">
        <v>12</v>
      </c>
      <c r="BI32" s="11" t="n">
        <v>12</v>
      </c>
      <c r="BJ32" s="11" t="n">
        <v>0</v>
      </c>
      <c r="BK32" s="10"/>
      <c r="BL32" s="14" t="s">
        <v>93</v>
      </c>
      <c r="BM32" s="15" t="n">
        <f aca="false">(F32-'Ensemble Parameters'!$B$20)/'Ensemble Parameters'!$C$20</f>
        <v>-0.64632529455214</v>
      </c>
      <c r="BN32" s="15" t="n">
        <f aca="false">(L32-'Ensemble Parameters'!$B$21)/'Ensemble Parameters'!$C$21</f>
        <v>-0.891845817733562</v>
      </c>
      <c r="BO32" s="15" t="n">
        <f aca="false">(S32-'Ensemble Parameters'!$B$22)/'Ensemble Parameters'!$C$22</f>
        <v>-1.30466920758806</v>
      </c>
      <c r="BP32" s="15" t="n">
        <f aca="false">(W32-'Ensemble Parameters'!$B$23)/'Ensemble Parameters'!$C$23</f>
        <v>-1.37542249732983</v>
      </c>
      <c r="BQ32" s="15" t="n">
        <f aca="false">AVERAGE(BO32:BP32)</f>
        <v>-1.34004585245894</v>
      </c>
      <c r="BR32" s="15" t="n">
        <f aca="false">(AQ32-'Ensemble Parameters'!$B$24)/'Ensemble Parameters'!$C$24</f>
        <v>-0.61508464075265</v>
      </c>
      <c r="BS32" s="15" t="n">
        <f aca="false">BM32*'Ensemble Parameters'!$B$5+BN32*'Ensemble Parameters'!$B$6+BQ32*'Ensemble Parameters'!$B$8+BR32*'Ensemble Parameters'!$B$7</f>
        <v>-0.873325401374323</v>
      </c>
      <c r="BT32" s="16" t="n">
        <f aca="false">'Ensemble Parameters'!$B$11+'Ensemble Parameters'!$B$12*BS32</f>
        <v>91.2667459862568</v>
      </c>
      <c r="BU32" s="17" t="n">
        <f aca="false">'Ensemble Parameters'!$B$13*BS32</f>
        <v>-12.2265556192405</v>
      </c>
      <c r="BV32" s="18" t="n">
        <f aca="false">RANK(BT32,$BT$5:$BT$125,0)</f>
        <v>105</v>
      </c>
      <c r="BW32" s="15" t="n">
        <f aca="false">STDEV(BM32,BN32,BQ32,BR32)</f>
        <v>0.334857344863198</v>
      </c>
      <c r="BX32" s="19" t="str">
        <f aca="false">IF(BW32&lt;'Ensemble Parameters'!$B$14,"High",IF(BW32&lt;'Ensemble Parameters'!$B$15,"Moderate","Low"))</f>
        <v>Moderate</v>
      </c>
      <c r="BY32" s="19" t="str">
        <f aca="false">IF(BX32="Low","REVIEW — MODEL DISAGREEMENT","")</f>
        <v/>
      </c>
      <c r="BZ32" s="20" t="n">
        <v>4</v>
      </c>
    </row>
    <row r="33" customFormat="false" ht="15" hidden="false" customHeight="true" outlineLevel="0" collapsed="false">
      <c r="A33" s="7" t="s">
        <v>125</v>
      </c>
      <c r="B33" s="7" t="s">
        <v>148</v>
      </c>
      <c r="C33" s="7" t="s">
        <v>149</v>
      </c>
      <c r="D33" s="7" t="n">
        <v>97</v>
      </c>
      <c r="E33" s="7" t="s">
        <v>149</v>
      </c>
      <c r="F33" s="8" t="n">
        <v>25.586864544</v>
      </c>
      <c r="G33" s="9" t="n">
        <v>44</v>
      </c>
      <c r="H33" s="8" t="n">
        <v>4.14970561914127</v>
      </c>
      <c r="I33" s="8" t="n">
        <v>13.1377476865762</v>
      </c>
      <c r="J33" s="7" t="s">
        <v>83</v>
      </c>
      <c r="K33" s="7" t="s">
        <v>84</v>
      </c>
      <c r="L33" s="8" t="n">
        <v>-2.87553709734577</v>
      </c>
      <c r="M33" s="8" t="n">
        <v>97.1244629026542</v>
      </c>
      <c r="N33" s="9" t="n">
        <v>62</v>
      </c>
      <c r="O33" s="8" t="n">
        <v>0.5236</v>
      </c>
      <c r="P33" s="8" t="n">
        <v>0.377600000000001</v>
      </c>
      <c r="Q33" s="7" t="s">
        <v>85</v>
      </c>
      <c r="R33" s="1" t="s">
        <v>86</v>
      </c>
      <c r="S33" s="10" t="n">
        <v>0.451937</v>
      </c>
      <c r="T33" s="11" t="n">
        <v>59</v>
      </c>
      <c r="U33" s="10" t="n">
        <v>0.452156</v>
      </c>
      <c r="V33" s="11" t="n">
        <v>69</v>
      </c>
      <c r="W33" s="10" t="n">
        <v>0.462985</v>
      </c>
      <c r="X33" s="11" t="n">
        <v>62</v>
      </c>
      <c r="Y33" s="10" t="n">
        <v>0.462221887935</v>
      </c>
      <c r="Z33" s="11" t="n">
        <v>69</v>
      </c>
      <c r="AA33" s="10" t="n">
        <v>0.3579</v>
      </c>
      <c r="AB33" s="10" t="n">
        <v>0.4914</v>
      </c>
      <c r="AC33" s="10" t="n">
        <v>0.4408</v>
      </c>
      <c r="AD33" s="10" t="n">
        <v>0.5424</v>
      </c>
      <c r="AE33" s="10" t="n">
        <v>0.75</v>
      </c>
      <c r="AF33" s="10" t="n">
        <v>0.4544</v>
      </c>
      <c r="AG33" s="12" t="n">
        <v>10.45</v>
      </c>
      <c r="AH33" s="11" t="n">
        <v>10</v>
      </c>
      <c r="AI33" s="1" t="s">
        <v>87</v>
      </c>
      <c r="AJ33" s="12" t="n">
        <v>6.71</v>
      </c>
      <c r="AK33" s="12" t="n">
        <v>6.8</v>
      </c>
      <c r="AL33" s="12" t="n">
        <v>7.36</v>
      </c>
      <c r="AM33" s="13" t="n">
        <v>-7.93611315685698</v>
      </c>
      <c r="AN33" s="11" t="n">
        <v>59</v>
      </c>
      <c r="AO33" s="11" t="n">
        <v>13</v>
      </c>
      <c r="AP33" s="14" t="s">
        <v>88</v>
      </c>
      <c r="AQ33" s="13" t="n">
        <v>-5.55527920979989</v>
      </c>
      <c r="AR33" s="11" t="n">
        <v>61</v>
      </c>
      <c r="AS33" s="13" t="n">
        <v>-0.319456388409819</v>
      </c>
      <c r="AT33" s="13" t="n">
        <v>-5.87473559820971</v>
      </c>
      <c r="AU33" s="11" t="n">
        <v>66</v>
      </c>
      <c r="AV33" s="10"/>
      <c r="AW33" s="14" t="s">
        <v>89</v>
      </c>
      <c r="AX33" s="14" t="s">
        <v>90</v>
      </c>
      <c r="AY33" s="10" t="n">
        <v>-3.29808255189122</v>
      </c>
      <c r="AZ33" s="10" t="n">
        <v>96.7019174481088</v>
      </c>
      <c r="BA33" s="11" t="n">
        <v>64</v>
      </c>
      <c r="BB33" s="14" t="s">
        <v>91</v>
      </c>
      <c r="BC33" s="10"/>
      <c r="BD33" s="11"/>
      <c r="BE33" s="14" t="s">
        <v>92</v>
      </c>
      <c r="BF33" s="10" t="n">
        <v>0.00832118093347916</v>
      </c>
      <c r="BG33" s="11" t="n">
        <v>28</v>
      </c>
      <c r="BH33" s="11" t="n">
        <v>12</v>
      </c>
      <c r="BI33" s="11" t="n">
        <v>12</v>
      </c>
      <c r="BJ33" s="11" t="n">
        <v>0</v>
      </c>
      <c r="BK33" s="10"/>
      <c r="BL33" s="14" t="s">
        <v>93</v>
      </c>
      <c r="BM33" s="15" t="n">
        <f aca="false">(F33-'Ensemble Parameters'!$B$20)/'Ensemble Parameters'!$C$20</f>
        <v>0.100347089123519</v>
      </c>
      <c r="BN33" s="15" t="n">
        <f aca="false">(L33-'Ensemble Parameters'!$B$21)/'Ensemble Parameters'!$C$21</f>
        <v>-0.301416499754822</v>
      </c>
      <c r="BO33" s="15" t="n">
        <f aca="false">(S33-'Ensemble Parameters'!$B$22)/'Ensemble Parameters'!$C$22</f>
        <v>-0.181237117350793</v>
      </c>
      <c r="BP33" s="15" t="n">
        <f aca="false">(W33-'Ensemble Parameters'!$B$23)/'Ensemble Parameters'!$C$23</f>
        <v>-0.200491992921137</v>
      </c>
      <c r="BQ33" s="15" t="n">
        <f aca="false">AVERAGE(BO33:BP33)</f>
        <v>-0.190864555135965</v>
      </c>
      <c r="BR33" s="15" t="n">
        <f aca="false">(AQ33-'Ensemble Parameters'!$B$24)/'Ensemble Parameters'!$C$24</f>
        <v>-0.362933131747155</v>
      </c>
      <c r="BS33" s="15" t="n">
        <f aca="false">BM33*'Ensemble Parameters'!$B$5+BN33*'Ensemble Parameters'!$B$6+BQ33*'Ensemble Parameters'!$B$8+BR33*'Ensemble Parameters'!$B$7</f>
        <v>-0.188716774378606</v>
      </c>
      <c r="BT33" s="16" t="n">
        <f aca="false">'Ensemble Parameters'!$B$11+'Ensemble Parameters'!$B$12*BS33</f>
        <v>98.112832256214</v>
      </c>
      <c r="BU33" s="17" t="n">
        <f aca="false">'Ensemble Parameters'!$B$13*BS33</f>
        <v>-2.64203484130048</v>
      </c>
      <c r="BV33" s="18" t="n">
        <f aca="false">RANK(BT33,$BT$5:$BT$125,0)</f>
        <v>52</v>
      </c>
      <c r="BW33" s="15" t="n">
        <f aca="false">STDEV(BM33,BN33,BQ33,BR33)</f>
        <v>0.205438634324703</v>
      </c>
      <c r="BX33" s="19" t="str">
        <f aca="false">IF(BW33&lt;'Ensemble Parameters'!$B$14,"High",IF(BW33&lt;'Ensemble Parameters'!$B$15,"Moderate","Low"))</f>
        <v>High</v>
      </c>
      <c r="BY33" s="19" t="str">
        <f aca="false">IF(BX33="Low","REVIEW — MODEL DISAGREEMENT","")</f>
        <v/>
      </c>
      <c r="BZ33" s="20" t="n">
        <v>4</v>
      </c>
    </row>
    <row r="34" customFormat="false" ht="15" hidden="false" customHeight="true" outlineLevel="0" collapsed="false">
      <c r="A34" s="7" t="s">
        <v>125</v>
      </c>
      <c r="B34" s="7" t="s">
        <v>150</v>
      </c>
      <c r="C34" s="7" t="s">
        <v>151</v>
      </c>
      <c r="D34" s="7" t="n">
        <v>98</v>
      </c>
      <c r="E34" s="7" t="s">
        <v>151</v>
      </c>
      <c r="F34" s="8" t="n">
        <v>31.447406497</v>
      </c>
      <c r="G34" s="9" t="n">
        <v>17</v>
      </c>
      <c r="H34" s="8" t="n">
        <v>4.31802684607856</v>
      </c>
      <c r="I34" s="8" t="n">
        <v>18.4933259587643</v>
      </c>
      <c r="J34" s="7" t="s">
        <v>83</v>
      </c>
      <c r="K34" s="7" t="s">
        <v>84</v>
      </c>
      <c r="L34" s="8" t="n">
        <v>5.70712938311019</v>
      </c>
      <c r="M34" s="8" t="n">
        <v>105.70712938311</v>
      </c>
      <c r="N34" s="9" t="n">
        <v>28</v>
      </c>
      <c r="O34" s="8" t="n">
        <v>0.437495238095238</v>
      </c>
      <c r="P34" s="8" t="n">
        <v>-1.00007619047619</v>
      </c>
      <c r="Q34" s="7" t="s">
        <v>85</v>
      </c>
      <c r="R34" s="1" t="s">
        <v>86</v>
      </c>
      <c r="S34" s="10" t="n">
        <v>0.548755</v>
      </c>
      <c r="T34" s="11" t="n">
        <v>32</v>
      </c>
      <c r="U34" s="10" t="n">
        <v>0.558163</v>
      </c>
      <c r="V34" s="11" t="n">
        <v>38</v>
      </c>
      <c r="W34" s="10" t="n">
        <v>0.52672</v>
      </c>
      <c r="X34" s="11" t="n">
        <v>35</v>
      </c>
      <c r="Y34" s="10" t="n">
        <v>0.53808712532</v>
      </c>
      <c r="Z34" s="11" t="n">
        <v>38</v>
      </c>
      <c r="AA34" s="10" t="n">
        <v>0.6948</v>
      </c>
      <c r="AB34" s="10" t="n">
        <v>0.4092</v>
      </c>
      <c r="AC34" s="10" t="n">
        <v>0.4448</v>
      </c>
      <c r="AD34" s="10" t="n">
        <v>0.53</v>
      </c>
      <c r="AE34" s="10" t="n">
        <v>0.375</v>
      </c>
      <c r="AF34" s="10" t="n">
        <v>0.6546</v>
      </c>
      <c r="AG34" s="12" t="n">
        <v>11.14</v>
      </c>
      <c r="AH34" s="11" t="n">
        <v>6</v>
      </c>
      <c r="AI34" s="1" t="s">
        <v>87</v>
      </c>
      <c r="AJ34" s="12" t="n">
        <v>8.86</v>
      </c>
      <c r="AK34" s="12" t="n">
        <v>8.16</v>
      </c>
      <c r="AL34" s="12" t="n">
        <v>5.8</v>
      </c>
      <c r="AM34" s="13" t="n">
        <v>14.1319895765983</v>
      </c>
      <c r="AN34" s="11" t="n">
        <v>28</v>
      </c>
      <c r="AO34" s="11" t="n">
        <v>14</v>
      </c>
      <c r="AP34" s="14" t="s">
        <v>88</v>
      </c>
      <c r="AQ34" s="13" t="n">
        <v>9.89239270361884</v>
      </c>
      <c r="AR34" s="11" t="n">
        <v>28</v>
      </c>
      <c r="AS34" s="13" t="n">
        <v>-2.83057171042039</v>
      </c>
      <c r="AT34" s="13" t="n">
        <v>7.06182099319845</v>
      </c>
      <c r="AU34" s="11" t="n">
        <v>28</v>
      </c>
      <c r="AV34" s="10"/>
      <c r="AW34" s="14" t="s">
        <v>89</v>
      </c>
      <c r="AX34" s="14" t="s">
        <v>90</v>
      </c>
      <c r="AY34" s="10" t="n">
        <v>6.88618392856474</v>
      </c>
      <c r="AZ34" s="10" t="n">
        <v>106.886183928565</v>
      </c>
      <c r="BA34" s="11" t="n">
        <v>28</v>
      </c>
      <c r="BB34" s="14" t="s">
        <v>91</v>
      </c>
      <c r="BC34" s="10"/>
      <c r="BD34" s="11"/>
      <c r="BE34" s="14" t="s">
        <v>92</v>
      </c>
      <c r="BF34" s="10" t="n">
        <v>0.00833056987095212</v>
      </c>
      <c r="BG34" s="11" t="n">
        <v>20</v>
      </c>
      <c r="BH34" s="11" t="n">
        <v>12</v>
      </c>
      <c r="BI34" s="11" t="n">
        <v>12</v>
      </c>
      <c r="BJ34" s="11" t="n">
        <v>0</v>
      </c>
      <c r="BK34" s="10"/>
      <c r="BL34" s="14" t="s">
        <v>93</v>
      </c>
      <c r="BM34" s="15" t="n">
        <f aca="false">(F34-'Ensemble Parameters'!$B$20)/'Ensemble Parameters'!$C$20</f>
        <v>1.44472751666704</v>
      </c>
      <c r="BN34" s="15" t="n">
        <f aca="false">(L34-'Ensemble Parameters'!$B$21)/'Ensemble Parameters'!$C$21</f>
        <v>0.598226663078977</v>
      </c>
      <c r="BO34" s="15" t="n">
        <f aca="false">(S34-'Ensemble Parameters'!$B$22)/'Ensemble Parameters'!$C$22</f>
        <v>0.493936524073884</v>
      </c>
      <c r="BP34" s="15" t="n">
        <f aca="false">(W34-'Ensemble Parameters'!$B$23)/'Ensemble Parameters'!$C$23</f>
        <v>0.29890244321416</v>
      </c>
      <c r="BQ34" s="15" t="n">
        <f aca="false">AVERAGE(BO34:BP34)</f>
        <v>0.396419483644022</v>
      </c>
      <c r="BR34" s="15" t="n">
        <f aca="false">(AQ34-'Ensemble Parameters'!$B$24)/'Ensemble Parameters'!$C$24</f>
        <v>0.66207429691943</v>
      </c>
      <c r="BS34" s="15" t="n">
        <f aca="false">BM34*'Ensemble Parameters'!$B$5+BN34*'Ensemble Parameters'!$B$6+BQ34*'Ensemble Parameters'!$B$8+BR34*'Ensemble Parameters'!$B$7</f>
        <v>0.775361990077368</v>
      </c>
      <c r="BT34" s="16" t="n">
        <f aca="false">'Ensemble Parameters'!$B$11+'Ensemble Parameters'!$B$12*BS34</f>
        <v>107.753619900774</v>
      </c>
      <c r="BU34" s="17" t="n">
        <f aca="false">'Ensemble Parameters'!$B$13*BS34</f>
        <v>10.8550678610832</v>
      </c>
      <c r="BV34" s="18" t="n">
        <f aca="false">RANK(BT34,$BT$5:$BT$125,0)</f>
        <v>27</v>
      </c>
      <c r="BW34" s="15" t="n">
        <f aca="false">STDEV(BM34,BN34,BQ34,BR34)</f>
        <v>0.46038341153888</v>
      </c>
      <c r="BX34" s="19" t="str">
        <f aca="false">IF(BW34&lt;'Ensemble Parameters'!$B$14,"High",IF(BW34&lt;'Ensemble Parameters'!$B$15,"Moderate","Low"))</f>
        <v>Moderate</v>
      </c>
      <c r="BY34" s="19" t="str">
        <f aca="false">IF(BX34="Low","REVIEW — MODEL DISAGREEMENT","")</f>
        <v/>
      </c>
      <c r="BZ34" s="20" t="n">
        <v>4</v>
      </c>
    </row>
    <row r="35" customFormat="false" ht="15" hidden="false" customHeight="true" outlineLevel="0" collapsed="false">
      <c r="A35" s="7" t="s">
        <v>125</v>
      </c>
      <c r="B35" s="7" t="s">
        <v>152</v>
      </c>
      <c r="C35" s="7" t="s">
        <v>153</v>
      </c>
      <c r="D35" s="7" t="n">
        <v>99</v>
      </c>
      <c r="E35" s="7" t="s">
        <v>153</v>
      </c>
      <c r="F35" s="8" t="n">
        <v>21.056198894</v>
      </c>
      <c r="G35" s="9" t="n">
        <v>103</v>
      </c>
      <c r="H35" s="8" t="n">
        <v>4.29825496999615</v>
      </c>
      <c r="I35" s="8" t="n">
        <v>8.16143398401156</v>
      </c>
      <c r="J35" s="7" t="s">
        <v>83</v>
      </c>
      <c r="K35" s="7" t="s">
        <v>84</v>
      </c>
      <c r="L35" s="8" t="n">
        <v>-3.68605627577539</v>
      </c>
      <c r="M35" s="8" t="n">
        <v>96.3139437242246</v>
      </c>
      <c r="N35" s="9" t="n">
        <v>69</v>
      </c>
      <c r="O35" s="8" t="n">
        <v>0.547676190476191</v>
      </c>
      <c r="P35" s="8" t="n">
        <v>0.762819047619049</v>
      </c>
      <c r="Q35" s="7" t="s">
        <v>85</v>
      </c>
      <c r="R35" s="1" t="s">
        <v>86</v>
      </c>
      <c r="S35" s="10" t="n">
        <v>0.415538</v>
      </c>
      <c r="T35" s="11" t="n">
        <v>75</v>
      </c>
      <c r="U35" s="10" t="n">
        <v>0.414894</v>
      </c>
      <c r="V35" s="11" t="n">
        <v>79</v>
      </c>
      <c r="W35" s="10" t="n">
        <v>0.436575</v>
      </c>
      <c r="X35" s="11" t="n">
        <v>73</v>
      </c>
      <c r="Y35" s="10" t="n">
        <v>0.434061663525</v>
      </c>
      <c r="Z35" s="11" t="n">
        <v>79</v>
      </c>
      <c r="AA35" s="10" t="n">
        <v>0.2421</v>
      </c>
      <c r="AB35" s="10" t="n">
        <v>0.5897</v>
      </c>
      <c r="AC35" s="10" t="n">
        <v>0.4556</v>
      </c>
      <c r="AD35" s="10" t="n">
        <v>0.45</v>
      </c>
      <c r="AE35" s="10" t="n">
        <v>0.75</v>
      </c>
      <c r="AF35" s="10" t="n">
        <v>0.4083</v>
      </c>
      <c r="AG35" s="12" t="n">
        <v>13.12</v>
      </c>
      <c r="AH35" s="11" t="n">
        <v>4</v>
      </c>
      <c r="AI35" s="1" t="s">
        <v>87</v>
      </c>
      <c r="AJ35" s="12" t="n">
        <v>6.09</v>
      </c>
      <c r="AK35" s="12" t="n">
        <v>6.28</v>
      </c>
      <c r="AL35" s="12" t="n">
        <v>7.27</v>
      </c>
      <c r="AM35" s="13" t="n">
        <v>-8.89235404263502</v>
      </c>
      <c r="AN35" s="11" t="n">
        <v>62</v>
      </c>
      <c r="AO35" s="11" t="n">
        <v>12</v>
      </c>
      <c r="AP35" s="14" t="s">
        <v>88</v>
      </c>
      <c r="AQ35" s="13" t="n">
        <v>-6.22464782984451</v>
      </c>
      <c r="AR35" s="11" t="n">
        <v>64</v>
      </c>
      <c r="AS35" s="13" t="n">
        <v>0.43738310884951</v>
      </c>
      <c r="AT35" s="13" t="n">
        <v>-5.787264720995</v>
      </c>
      <c r="AU35" s="11" t="n">
        <v>62</v>
      </c>
      <c r="AV35" s="10"/>
      <c r="AW35" s="14" t="s">
        <v>89</v>
      </c>
      <c r="AX35" s="14" t="s">
        <v>90</v>
      </c>
      <c r="AY35" s="10" t="n">
        <v>-4.47740173032084</v>
      </c>
      <c r="AZ35" s="10" t="n">
        <v>95.5225982696792</v>
      </c>
      <c r="BA35" s="11" t="n">
        <v>75</v>
      </c>
      <c r="BB35" s="14" t="s">
        <v>91</v>
      </c>
      <c r="BC35" s="10"/>
      <c r="BD35" s="11"/>
      <c r="BE35" s="14" t="s">
        <v>92</v>
      </c>
      <c r="BF35" s="10" t="n">
        <v>0.00832317912736343</v>
      </c>
      <c r="BG35" s="11" t="n">
        <v>25</v>
      </c>
      <c r="BH35" s="11" t="n">
        <v>12</v>
      </c>
      <c r="BI35" s="11" t="n">
        <v>12</v>
      </c>
      <c r="BJ35" s="11" t="n">
        <v>0</v>
      </c>
      <c r="BK35" s="10"/>
      <c r="BL35" s="14" t="s">
        <v>93</v>
      </c>
      <c r="BM35" s="15" t="n">
        <f aca="false">(F35-'Ensemble Parameters'!$B$20)/'Ensemble Parameters'!$C$20</f>
        <v>-0.938966044789944</v>
      </c>
      <c r="BN35" s="15" t="n">
        <f aca="false">(L35-'Ensemble Parameters'!$B$21)/'Ensemble Parameters'!$C$21</f>
        <v>-0.38637588142022</v>
      </c>
      <c r="BO35" s="15" t="n">
        <f aca="false">(S35-'Ensemble Parameters'!$B$22)/'Ensemble Parameters'!$C$22</f>
        <v>-0.435070550950091</v>
      </c>
      <c r="BP35" s="15" t="n">
        <f aca="false">(W35-'Ensemble Parameters'!$B$23)/'Ensemble Parameters'!$C$23</f>
        <v>-0.407427068755972</v>
      </c>
      <c r="BQ35" s="15" t="n">
        <f aca="false">AVERAGE(BO35:BP35)</f>
        <v>-0.421248809853032</v>
      </c>
      <c r="BR35" s="15" t="n">
        <f aca="false">(AQ35-'Ensemble Parameters'!$B$24)/'Ensemble Parameters'!$C$24</f>
        <v>-0.407348096792214</v>
      </c>
      <c r="BS35" s="15" t="n">
        <f aca="false">BM35*'Ensemble Parameters'!$B$5+BN35*'Ensemble Parameters'!$B$6+BQ35*'Ensemble Parameters'!$B$8+BR35*'Ensemble Parameters'!$B$7</f>
        <v>-0.538484708213852</v>
      </c>
      <c r="BT35" s="16" t="n">
        <f aca="false">'Ensemble Parameters'!$B$11+'Ensemble Parameters'!$B$12*BS35</f>
        <v>94.6151529178615</v>
      </c>
      <c r="BU35" s="17" t="n">
        <f aca="false">'Ensemble Parameters'!$B$13*BS35</f>
        <v>-7.53878591499393</v>
      </c>
      <c r="BV35" s="18" t="n">
        <f aca="false">RANK(BT35,$BT$5:$BT$125,0)</f>
        <v>74</v>
      </c>
      <c r="BW35" s="15" t="n">
        <f aca="false">STDEV(BM35,BN35,BQ35,BR35)</f>
        <v>0.267372064642716</v>
      </c>
      <c r="BX35" s="19" t="str">
        <f aca="false">IF(BW35&lt;'Ensemble Parameters'!$B$14,"High",IF(BW35&lt;'Ensemble Parameters'!$B$15,"Moderate","Low"))</f>
        <v>High</v>
      </c>
      <c r="BY35" s="19" t="str">
        <f aca="false">IF(BX35="Low","REVIEW — MODEL DISAGREEMENT","")</f>
        <v/>
      </c>
      <c r="BZ35" s="20" t="n">
        <v>4</v>
      </c>
    </row>
    <row r="36" customFormat="false" ht="15" hidden="false" customHeight="true" outlineLevel="0" collapsed="false">
      <c r="A36" s="7" t="s">
        <v>125</v>
      </c>
      <c r="B36" s="7" t="s">
        <v>154</v>
      </c>
      <c r="C36" s="7" t="s">
        <v>154</v>
      </c>
      <c r="D36" s="7" t="n">
        <v>100</v>
      </c>
      <c r="E36" s="7" t="s">
        <v>154</v>
      </c>
      <c r="F36" s="8" t="n">
        <v>23.887310702</v>
      </c>
      <c r="G36" s="9" t="n">
        <v>61</v>
      </c>
      <c r="H36" s="8" t="n">
        <v>3.94561501193894</v>
      </c>
      <c r="I36" s="8" t="n">
        <v>12.0504656661832</v>
      </c>
      <c r="J36" s="7" t="s">
        <v>83</v>
      </c>
      <c r="K36" s="7" t="s">
        <v>84</v>
      </c>
      <c r="L36" s="8" t="n">
        <v>-10.5984686035515</v>
      </c>
      <c r="M36" s="8" t="n">
        <v>89.4015313964485</v>
      </c>
      <c r="N36" s="9" t="n">
        <v>114</v>
      </c>
      <c r="O36" s="8" t="n">
        <v>0.400904761904762</v>
      </c>
      <c r="P36" s="8" t="n">
        <v>-1.58552380952381</v>
      </c>
      <c r="Q36" s="7" t="s">
        <v>85</v>
      </c>
      <c r="R36" s="1" t="s">
        <v>86</v>
      </c>
      <c r="S36" s="10" t="n">
        <v>0.31182</v>
      </c>
      <c r="T36" s="11" t="n">
        <v>112</v>
      </c>
      <c r="U36" s="10" t="n">
        <v>0.308085</v>
      </c>
      <c r="V36" s="11" t="n">
        <v>116</v>
      </c>
      <c r="W36" s="10" t="n">
        <v>0.333145</v>
      </c>
      <c r="X36" s="11" t="n">
        <v>115</v>
      </c>
      <c r="Y36" s="10" t="n">
        <v>0.327514326295</v>
      </c>
      <c r="Z36" s="11" t="n">
        <v>116</v>
      </c>
      <c r="AA36" s="10" t="n">
        <v>0.1949</v>
      </c>
      <c r="AB36" s="10" t="n">
        <v>0.3432</v>
      </c>
      <c r="AC36" s="10" t="n">
        <v>0.4508</v>
      </c>
      <c r="AD36" s="10" t="n">
        <v>0.4609</v>
      </c>
      <c r="AE36" s="10" t="n">
        <v>0.375</v>
      </c>
      <c r="AF36" s="10" t="n">
        <v>0.2698</v>
      </c>
      <c r="AG36" s="12" t="n">
        <v>12.22</v>
      </c>
      <c r="AH36" s="11" t="n">
        <v>4</v>
      </c>
      <c r="AI36" s="1" t="s">
        <v>87</v>
      </c>
      <c r="AJ36" s="12" t="n">
        <v>3.64</v>
      </c>
      <c r="AK36" s="12" t="n">
        <v>3.82</v>
      </c>
      <c r="AL36" s="12" t="n">
        <v>3.44</v>
      </c>
      <c r="AM36" s="13" t="n">
        <v>-20.0547357597831</v>
      </c>
      <c r="AN36" s="11" t="n">
        <v>106</v>
      </c>
      <c r="AO36" s="11" t="n">
        <v>14</v>
      </c>
      <c r="AP36" s="14" t="s">
        <v>88</v>
      </c>
      <c r="AQ36" s="13" t="n">
        <v>-14.0383150318482</v>
      </c>
      <c r="AR36" s="11" t="n">
        <v>108</v>
      </c>
      <c r="AS36" s="13" t="n">
        <v>-1.44141865468042</v>
      </c>
      <c r="AT36" s="13" t="n">
        <v>-15.4797336865286</v>
      </c>
      <c r="AU36" s="11" t="n">
        <v>117</v>
      </c>
      <c r="AV36" s="10"/>
      <c r="AW36" s="14" t="s">
        <v>89</v>
      </c>
      <c r="AX36" s="14" t="s">
        <v>90</v>
      </c>
      <c r="AY36" s="10" t="n">
        <v>-12.4978140580969</v>
      </c>
      <c r="AZ36" s="10" t="n">
        <v>87.5021859419031</v>
      </c>
      <c r="BA36" s="11" t="n">
        <v>116</v>
      </c>
      <c r="BB36" s="14" t="s">
        <v>91</v>
      </c>
      <c r="BC36" s="10"/>
      <c r="BD36" s="11"/>
      <c r="BE36" s="14" t="s">
        <v>92</v>
      </c>
      <c r="BF36" s="10" t="n">
        <v>0.00828711424407062</v>
      </c>
      <c r="BG36" s="11" t="n">
        <v>65</v>
      </c>
      <c r="BH36" s="11" t="n">
        <v>12</v>
      </c>
      <c r="BI36" s="11" t="n">
        <v>12</v>
      </c>
      <c r="BJ36" s="11" t="n">
        <v>0</v>
      </c>
      <c r="BK36" s="10"/>
      <c r="BL36" s="14" t="s">
        <v>93</v>
      </c>
      <c r="BM36" s="15" t="n">
        <f aca="false">(F36-'Ensemble Parameters'!$B$20)/'Ensemble Parameters'!$C$20</f>
        <v>-0.289522472269449</v>
      </c>
      <c r="BN36" s="15" t="n">
        <f aca="false">(L36-'Ensemble Parameters'!$B$21)/'Ensemble Parameters'!$C$21</f>
        <v>-1.11094143497316</v>
      </c>
      <c r="BO36" s="15" t="n">
        <f aca="false">(S36-'Ensemble Parameters'!$B$22)/'Ensemble Parameters'!$C$22</f>
        <v>-1.15836229154879</v>
      </c>
      <c r="BP36" s="15" t="n">
        <f aca="false">(W36-'Ensemble Parameters'!$B$23)/'Ensemble Parameters'!$C$23</f>
        <v>-1.21785095719206</v>
      </c>
      <c r="BQ36" s="15" t="n">
        <f aca="false">AVERAGE(BO36:BP36)</f>
        <v>-1.18810662437042</v>
      </c>
      <c r="BR36" s="15" t="n">
        <f aca="false">(AQ36-'Ensemble Parameters'!$B$24)/'Ensemble Parameters'!$C$24</f>
        <v>-0.925812430581249</v>
      </c>
      <c r="BS36" s="15" t="n">
        <f aca="false">BM36*'Ensemble Parameters'!$B$5+BN36*'Ensemble Parameters'!$B$6+BQ36*'Ensemble Parameters'!$B$8+BR36*'Ensemble Parameters'!$B$7</f>
        <v>-0.87859574054857</v>
      </c>
      <c r="BT36" s="16" t="n">
        <f aca="false">'Ensemble Parameters'!$B$11+'Ensemble Parameters'!$B$12*BS36</f>
        <v>91.2140425945143</v>
      </c>
      <c r="BU36" s="17" t="n">
        <f aca="false">'Ensemble Parameters'!$B$13*BS36</f>
        <v>-12.30034036768</v>
      </c>
      <c r="BV36" s="18" t="n">
        <f aca="false">RANK(BT36,$BT$5:$BT$125,0)</f>
        <v>106</v>
      </c>
      <c r="BW36" s="15" t="n">
        <f aca="false">STDEV(BM36,BN36,BQ36,BR36)</f>
        <v>0.407847291740637</v>
      </c>
      <c r="BX36" s="19" t="str">
        <f aca="false">IF(BW36&lt;'Ensemble Parameters'!$B$14,"High",IF(BW36&lt;'Ensemble Parameters'!$B$15,"Moderate","Low"))</f>
        <v>Moderate</v>
      </c>
      <c r="BY36" s="19" t="str">
        <f aca="false">IF(BX36="Low","REVIEW — MODEL DISAGREEMENT","")</f>
        <v/>
      </c>
      <c r="BZ36" s="20" t="n">
        <v>4</v>
      </c>
    </row>
    <row r="37" customFormat="false" ht="15" hidden="false" customHeight="true" outlineLevel="0" collapsed="false">
      <c r="A37" s="7" t="s">
        <v>125</v>
      </c>
      <c r="B37" s="7" t="s">
        <v>155</v>
      </c>
      <c r="C37" s="7" t="s">
        <v>155</v>
      </c>
      <c r="D37" s="7" t="n">
        <v>101</v>
      </c>
      <c r="E37" s="7" t="s">
        <v>155</v>
      </c>
      <c r="F37" s="8" t="n">
        <v>21.960935006</v>
      </c>
      <c r="G37" s="9" t="n">
        <v>89</v>
      </c>
      <c r="H37" s="8" t="n">
        <v>4.38628111537166</v>
      </c>
      <c r="I37" s="8" t="n">
        <v>8.80209165988501</v>
      </c>
      <c r="J37" s="7" t="s">
        <v>83</v>
      </c>
      <c r="K37" s="7" t="s">
        <v>84</v>
      </c>
      <c r="L37" s="8" t="n">
        <v>-9.10762506872619</v>
      </c>
      <c r="M37" s="8" t="n">
        <v>90.8923749312738</v>
      </c>
      <c r="N37" s="9" t="n">
        <v>102</v>
      </c>
      <c r="O37" s="8" t="n">
        <v>0.565790476190476</v>
      </c>
      <c r="P37" s="8" t="n">
        <v>1.05264761904762</v>
      </c>
      <c r="Q37" s="7" t="s">
        <v>85</v>
      </c>
      <c r="R37" s="1" t="s">
        <v>86</v>
      </c>
      <c r="S37" s="10" t="n">
        <v>0.368912</v>
      </c>
      <c r="T37" s="11" t="n">
        <v>85</v>
      </c>
      <c r="U37" s="10" t="n">
        <v>0.384475</v>
      </c>
      <c r="V37" s="11" t="n">
        <v>87</v>
      </c>
      <c r="W37" s="10" t="n">
        <v>0.398365</v>
      </c>
      <c r="X37" s="11" t="n">
        <v>83</v>
      </c>
      <c r="Y37" s="10" t="n">
        <v>0.411310349515</v>
      </c>
      <c r="Z37" s="11" t="n">
        <v>87</v>
      </c>
      <c r="AA37" s="10" t="n">
        <v>0.1105</v>
      </c>
      <c r="AB37" s="10" t="n">
        <v>0.6022</v>
      </c>
      <c r="AC37" s="10" t="n">
        <v>0.439</v>
      </c>
      <c r="AD37" s="10" t="n">
        <v>0.545</v>
      </c>
      <c r="AE37" s="10" t="n">
        <v>0.75</v>
      </c>
      <c r="AF37" s="10" t="n">
        <v>0.544</v>
      </c>
      <c r="AG37" s="12" t="n">
        <v>10.16</v>
      </c>
      <c r="AH37" s="11" t="n">
        <v>2</v>
      </c>
      <c r="AI37" s="1" t="s">
        <v>87</v>
      </c>
      <c r="AJ37" s="12" t="n">
        <v>4.87</v>
      </c>
      <c r="AK37" s="12" t="n">
        <v>5.17</v>
      </c>
      <c r="AL37" s="12" t="n">
        <v>6.37</v>
      </c>
      <c r="AM37" s="13" t="n">
        <v>-20.4471423167069</v>
      </c>
      <c r="AN37" s="11" t="n">
        <v>109</v>
      </c>
      <c r="AO37" s="11" t="n">
        <v>12</v>
      </c>
      <c r="AP37" s="14" t="s">
        <v>88</v>
      </c>
      <c r="AQ37" s="13" t="n">
        <v>-14.3129996216948</v>
      </c>
      <c r="AR37" s="11" t="n">
        <v>111</v>
      </c>
      <c r="AS37" s="13" t="n">
        <v>1.10401421033113</v>
      </c>
      <c r="AT37" s="13" t="n">
        <v>-13.2089854113637</v>
      </c>
      <c r="AU37" s="11" t="n">
        <v>99</v>
      </c>
      <c r="AV37" s="10"/>
      <c r="AW37" s="14" t="s">
        <v>89</v>
      </c>
      <c r="AX37" s="14" t="s">
        <v>90</v>
      </c>
      <c r="AY37" s="10" t="n">
        <v>-8.81337052327164</v>
      </c>
      <c r="AZ37" s="10" t="n">
        <v>91.1866294767284</v>
      </c>
      <c r="BA37" s="11" t="n">
        <v>98</v>
      </c>
      <c r="BB37" s="14" t="s">
        <v>91</v>
      </c>
      <c r="BC37" s="10"/>
      <c r="BD37" s="11"/>
      <c r="BE37" s="14" t="s">
        <v>92</v>
      </c>
      <c r="BF37" s="10" t="n">
        <v>0.00836176282426164</v>
      </c>
      <c r="BG37" s="11" t="n">
        <v>11</v>
      </c>
      <c r="BH37" s="11" t="n">
        <v>12</v>
      </c>
      <c r="BI37" s="11" t="n">
        <v>12</v>
      </c>
      <c r="BJ37" s="11" t="n">
        <v>0</v>
      </c>
      <c r="BK37" s="10"/>
      <c r="BL37" s="14" t="s">
        <v>93</v>
      </c>
      <c r="BM37" s="15" t="n">
        <f aca="false">(F37-'Ensemble Parameters'!$B$20)/'Ensemble Parameters'!$C$20</f>
        <v>-0.731423887286576</v>
      </c>
      <c r="BN37" s="15" t="n">
        <f aca="false">(L37-'Ensemble Parameters'!$B$21)/'Ensemble Parameters'!$C$21</f>
        <v>-0.954669815189875</v>
      </c>
      <c r="BO37" s="15" t="n">
        <f aca="false">(S37-'Ensemble Parameters'!$B$22)/'Ensemble Parameters'!$C$22</f>
        <v>-0.760223375890361</v>
      </c>
      <c r="BP37" s="15" t="n">
        <f aca="false">(W37-'Ensemble Parameters'!$B$23)/'Ensemble Parameters'!$C$23</f>
        <v>-0.706820830499593</v>
      </c>
      <c r="BQ37" s="15" t="n">
        <f aca="false">AVERAGE(BO37:BP37)</f>
        <v>-0.733522103194977</v>
      </c>
      <c r="BR37" s="15" t="n">
        <f aca="false">(AQ37-'Ensemble Parameters'!$B$24)/'Ensemble Parameters'!$C$24</f>
        <v>-0.944038720387963</v>
      </c>
      <c r="BS37" s="15" t="n">
        <f aca="false">BM37*'Ensemble Parameters'!$B$5+BN37*'Ensemble Parameters'!$B$6+BQ37*'Ensemble Parameters'!$B$8+BR37*'Ensemble Parameters'!$B$7</f>
        <v>-0.840913631514848</v>
      </c>
      <c r="BT37" s="16" t="n">
        <f aca="false">'Ensemble Parameters'!$B$11+'Ensemble Parameters'!$B$12*BS37</f>
        <v>91.5908636848515</v>
      </c>
      <c r="BU37" s="17" t="n">
        <f aca="false">'Ensemble Parameters'!$B$13*BS37</f>
        <v>-11.7727908412079</v>
      </c>
      <c r="BV37" s="18" t="n">
        <f aca="false">RANK(BT37,$BT$5:$BT$125,0)</f>
        <v>100</v>
      </c>
      <c r="BW37" s="15" t="n">
        <f aca="false">STDEV(BM37,BN37,BQ37,BR37)</f>
        <v>0.125294583183584</v>
      </c>
      <c r="BX37" s="19" t="str">
        <f aca="false">IF(BW37&lt;'Ensemble Parameters'!$B$14,"High",IF(BW37&lt;'Ensemble Parameters'!$B$15,"Moderate","Low"))</f>
        <v>High</v>
      </c>
      <c r="BY37" s="19" t="str">
        <f aca="false">IF(BX37="Low","REVIEW — MODEL DISAGREEMENT","")</f>
        <v/>
      </c>
      <c r="BZ37" s="20" t="n">
        <v>4</v>
      </c>
    </row>
    <row r="38" customFormat="false" ht="15" hidden="false" customHeight="true" outlineLevel="0" collapsed="false">
      <c r="A38" s="7" t="s">
        <v>156</v>
      </c>
      <c r="B38" s="7" t="s">
        <v>157</v>
      </c>
      <c r="C38" s="7" t="s">
        <v>158</v>
      </c>
      <c r="D38" s="7" t="n">
        <v>102</v>
      </c>
      <c r="E38" s="7" t="s">
        <v>158</v>
      </c>
      <c r="F38" s="8" t="n">
        <v>23.866850395</v>
      </c>
      <c r="G38" s="9" t="n">
        <v>62</v>
      </c>
      <c r="H38" s="8" t="n">
        <v>3.8597832069876</v>
      </c>
      <c r="I38" s="8" t="n">
        <v>12.2875007740372</v>
      </c>
      <c r="J38" s="7" t="s">
        <v>83</v>
      </c>
      <c r="K38" s="7" t="s">
        <v>84</v>
      </c>
      <c r="L38" s="8" t="n">
        <v>-9.63408665054212</v>
      </c>
      <c r="M38" s="8" t="n">
        <v>90.3659133494579</v>
      </c>
      <c r="N38" s="9" t="n">
        <v>107</v>
      </c>
      <c r="O38" s="8" t="n">
        <v>0.451038095238095</v>
      </c>
      <c r="P38" s="8" t="n">
        <v>-0.783390476190476</v>
      </c>
      <c r="Q38" s="7" t="s">
        <v>85</v>
      </c>
      <c r="R38" s="1" t="s">
        <v>86</v>
      </c>
      <c r="S38" s="10" t="n">
        <v>0.353984</v>
      </c>
      <c r="T38" s="11" t="n">
        <v>96</v>
      </c>
      <c r="U38" s="10" t="n">
        <v>0.359159</v>
      </c>
      <c r="V38" s="11" t="n">
        <v>108</v>
      </c>
      <c r="W38" s="10" t="n">
        <v>0.378405</v>
      </c>
      <c r="X38" s="11" t="n">
        <v>96</v>
      </c>
      <c r="Y38" s="10" t="n">
        <v>0.381409003755</v>
      </c>
      <c r="Z38" s="11" t="n">
        <v>108</v>
      </c>
      <c r="AA38" s="10" t="n">
        <v>0.2266</v>
      </c>
      <c r="AB38" s="10" t="n">
        <v>0.3408</v>
      </c>
      <c r="AC38" s="10" t="n">
        <v>0.4355</v>
      </c>
      <c r="AD38" s="10" t="n">
        <v>0.4706</v>
      </c>
      <c r="AE38" s="10" t="n">
        <v>0.75</v>
      </c>
      <c r="AF38" s="10" t="n">
        <v>0.4122</v>
      </c>
      <c r="AG38" s="12" t="n">
        <v>9.58</v>
      </c>
      <c r="AH38" s="11" t="n">
        <v>12</v>
      </c>
      <c r="AI38" s="1" t="s">
        <v>87</v>
      </c>
      <c r="AJ38" s="12" t="n">
        <v>5.56</v>
      </c>
      <c r="AK38" s="12" t="n">
        <v>5.58</v>
      </c>
      <c r="AL38" s="12" t="n">
        <v>5.41</v>
      </c>
      <c r="AM38" s="13" t="n">
        <v>-19.623545074719</v>
      </c>
      <c r="AN38" s="11" t="n">
        <v>103</v>
      </c>
      <c r="AO38" s="11" t="n">
        <v>14</v>
      </c>
      <c r="AP38" s="14" t="s">
        <v>88</v>
      </c>
      <c r="AQ38" s="13" t="n">
        <v>-13.7364815523033</v>
      </c>
      <c r="AR38" s="11" t="n">
        <v>105</v>
      </c>
      <c r="AS38" s="13" t="n">
        <v>-0.750927101795748</v>
      </c>
      <c r="AT38" s="13" t="n">
        <v>-14.487408654099</v>
      </c>
      <c r="AU38" s="11" t="n">
        <v>110</v>
      </c>
      <c r="AV38" s="10"/>
      <c r="AW38" s="14" t="s">
        <v>89</v>
      </c>
      <c r="AX38" s="14" t="s">
        <v>90</v>
      </c>
      <c r="AY38" s="10" t="n">
        <v>-10.3942321050876</v>
      </c>
      <c r="AZ38" s="10" t="n">
        <v>89.6057678949124</v>
      </c>
      <c r="BA38" s="11" t="n">
        <v>111</v>
      </c>
      <c r="BB38" s="14" t="s">
        <v>91</v>
      </c>
      <c r="BC38" s="10"/>
      <c r="BD38" s="11"/>
      <c r="BE38" s="14" t="s">
        <v>92</v>
      </c>
      <c r="BF38" s="10" t="n">
        <v>0.00826103232380812</v>
      </c>
      <c r="BG38" s="11" t="n">
        <v>97</v>
      </c>
      <c r="BH38" s="11" t="n">
        <v>12</v>
      </c>
      <c r="BI38" s="11" t="n">
        <v>12</v>
      </c>
      <c r="BJ38" s="11" t="n">
        <v>0</v>
      </c>
      <c r="BK38" s="10"/>
      <c r="BL38" s="14" t="s">
        <v>93</v>
      </c>
      <c r="BM38" s="15" t="n">
        <f aca="false">(F38-'Ensemble Parameters'!$B$20)/'Ensemble Parameters'!$C$20</f>
        <v>-0.294215969303158</v>
      </c>
      <c r="BN38" s="15" t="n">
        <f aca="false">(L38-'Ensemble Parameters'!$B$21)/'Ensemble Parameters'!$C$21</f>
        <v>-1.00985401274129</v>
      </c>
      <c r="BO38" s="15" t="n">
        <f aca="false">(S38-'Ensemble Parameters'!$B$22)/'Ensemble Parameters'!$C$22</f>
        <v>-0.864325837407719</v>
      </c>
      <c r="BP38" s="15" t="n">
        <f aca="false">(W38-'Ensemble Parameters'!$B$23)/'Ensemble Parameters'!$C$23</f>
        <v>-0.863217048358863</v>
      </c>
      <c r="BQ38" s="15" t="n">
        <f aca="false">AVERAGE(BO38:BP38)</f>
        <v>-0.863771442883291</v>
      </c>
      <c r="BR38" s="15" t="n">
        <f aca="false">(AQ38-'Ensemble Parameters'!$B$24)/'Ensemble Parameters'!$C$24</f>
        <v>-0.905784716341341</v>
      </c>
      <c r="BS38" s="15" t="n">
        <f aca="false">BM38*'Ensemble Parameters'!$B$5+BN38*'Ensemble Parameters'!$B$6+BQ38*'Ensemble Parameters'!$B$8+BR38*'Ensemble Parameters'!$B$7</f>
        <v>-0.768406535317269</v>
      </c>
      <c r="BT38" s="16" t="n">
        <f aca="false">'Ensemble Parameters'!$B$11+'Ensemble Parameters'!$B$12*BS38</f>
        <v>92.3159346468273</v>
      </c>
      <c r="BU38" s="17" t="n">
        <f aca="false">'Ensemble Parameters'!$B$13*BS38</f>
        <v>-10.7576914944418</v>
      </c>
      <c r="BV38" s="18" t="n">
        <f aca="false">RANK(BT38,$BT$5:$BT$125,0)</f>
        <v>95</v>
      </c>
      <c r="BW38" s="15" t="n">
        <f aca="false">STDEV(BM38,BN38,BQ38,BR38)</f>
        <v>0.322035612661997</v>
      </c>
      <c r="BX38" s="19" t="str">
        <f aca="false">IF(BW38&lt;'Ensemble Parameters'!$B$14,"High",IF(BW38&lt;'Ensemble Parameters'!$B$15,"Moderate","Low"))</f>
        <v>Moderate</v>
      </c>
      <c r="BY38" s="19" t="str">
        <f aca="false">IF(BX38="Low","REVIEW — MODEL DISAGREEMENT","")</f>
        <v/>
      </c>
      <c r="BZ38" s="20" t="n">
        <v>4</v>
      </c>
    </row>
    <row r="39" customFormat="false" ht="15" hidden="false" customHeight="true" outlineLevel="0" collapsed="false">
      <c r="A39" s="7" t="s">
        <v>156</v>
      </c>
      <c r="B39" s="7" t="s">
        <v>159</v>
      </c>
      <c r="C39" s="7" t="s">
        <v>160</v>
      </c>
      <c r="D39" s="7" t="n">
        <v>103</v>
      </c>
      <c r="E39" s="7" t="s">
        <v>160</v>
      </c>
      <c r="F39" s="8" t="n">
        <v>20.497277972</v>
      </c>
      <c r="G39" s="9" t="n">
        <v>111</v>
      </c>
      <c r="H39" s="8" t="n">
        <v>4.0446149007513</v>
      </c>
      <c r="I39" s="8" t="n">
        <v>8.36343326974609</v>
      </c>
      <c r="J39" s="7" t="s">
        <v>83</v>
      </c>
      <c r="K39" s="7" t="s">
        <v>84</v>
      </c>
      <c r="L39" s="8" t="n">
        <v>-12.7824337963441</v>
      </c>
      <c r="M39" s="8" t="n">
        <v>87.2175662036559</v>
      </c>
      <c r="N39" s="9" t="n">
        <v>121</v>
      </c>
      <c r="O39" s="8" t="n">
        <v>0.433352380952381</v>
      </c>
      <c r="P39" s="8" t="n">
        <v>-1.06636190476191</v>
      </c>
      <c r="Q39" s="7" t="s">
        <v>85</v>
      </c>
      <c r="R39" s="1" t="s">
        <v>86</v>
      </c>
      <c r="S39" s="10" t="n">
        <v>0.265155</v>
      </c>
      <c r="T39" s="11" t="n">
        <v>121</v>
      </c>
      <c r="U39" s="10" t="n">
        <v>0.276234</v>
      </c>
      <c r="V39" s="11" t="n">
        <v>120</v>
      </c>
      <c r="W39" s="10" t="n">
        <v>0.297095</v>
      </c>
      <c r="X39" s="11" t="n">
        <v>119</v>
      </c>
      <c r="Y39" s="10" t="n">
        <v>0.305335454745</v>
      </c>
      <c r="Z39" s="11" t="n">
        <v>120</v>
      </c>
      <c r="AA39" s="10" t="n">
        <v>0.0444</v>
      </c>
      <c r="AB39" s="10" t="n">
        <v>0.4254</v>
      </c>
      <c r="AC39" s="10" t="n">
        <v>0.4467</v>
      </c>
      <c r="AD39" s="10" t="n">
        <v>0.473</v>
      </c>
      <c r="AE39" s="10" t="n">
        <v>0.375</v>
      </c>
      <c r="AF39" s="10" t="n">
        <v>0.3898</v>
      </c>
      <c r="AG39" s="12" t="n">
        <v>11.48</v>
      </c>
      <c r="AH39" s="11" t="n">
        <v>-1</v>
      </c>
      <c r="AI39" s="1" t="s">
        <v>87</v>
      </c>
      <c r="AJ39" s="12" t="n">
        <v>4.41</v>
      </c>
      <c r="AK39" s="12" t="n">
        <v>4.52</v>
      </c>
      <c r="AL39" s="12" t="n">
        <v>4.02</v>
      </c>
      <c r="AM39" s="13" t="n">
        <v>-23.5635433772699</v>
      </c>
      <c r="AN39" s="11" t="n">
        <v>119</v>
      </c>
      <c r="AO39" s="11" t="n">
        <v>12</v>
      </c>
      <c r="AP39" s="14" t="s">
        <v>88</v>
      </c>
      <c r="AQ39" s="13" t="n">
        <v>-16.4944803640889</v>
      </c>
      <c r="AR39" s="11" t="n">
        <v>121</v>
      </c>
      <c r="AS39" s="13" t="n">
        <v>-0.498532457436032</v>
      </c>
      <c r="AT39" s="13" t="n">
        <v>-16.993012821525</v>
      </c>
      <c r="AU39" s="11" t="n">
        <v>121</v>
      </c>
      <c r="AV39" s="10"/>
      <c r="AW39" s="14" t="s">
        <v>89</v>
      </c>
      <c r="AX39" s="14" t="s">
        <v>90</v>
      </c>
      <c r="AY39" s="10" t="n">
        <v>-13.7217792508896</v>
      </c>
      <c r="AZ39" s="10" t="n">
        <v>86.2782207491104</v>
      </c>
      <c r="BA39" s="11" t="n">
        <v>121</v>
      </c>
      <c r="BB39" s="14" t="s">
        <v>91</v>
      </c>
      <c r="BC39" s="10"/>
      <c r="BD39" s="11"/>
      <c r="BE39" s="14" t="s">
        <v>92</v>
      </c>
      <c r="BF39" s="10" t="n">
        <v>0.00825828263188585</v>
      </c>
      <c r="BG39" s="11" t="n">
        <v>101</v>
      </c>
      <c r="BH39" s="11" t="n">
        <v>12</v>
      </c>
      <c r="BI39" s="11" t="n">
        <v>12</v>
      </c>
      <c r="BJ39" s="11" t="n">
        <v>0</v>
      </c>
      <c r="BK39" s="10"/>
      <c r="BL39" s="14" t="s">
        <v>93</v>
      </c>
      <c r="BM39" s="15" t="n">
        <f aca="false">(F39-'Ensemble Parameters'!$B$20)/'Ensemble Parameters'!$C$20</f>
        <v>-1.06717984380502</v>
      </c>
      <c r="BN39" s="15" t="n">
        <f aca="false">(L39-'Ensemble Parameters'!$B$21)/'Ensemble Parameters'!$C$21</f>
        <v>-1.33986671804655</v>
      </c>
      <c r="BO39" s="15" t="n">
        <f aca="false">(S39-'Ensemble Parameters'!$B$22)/'Ensemble Parameters'!$C$22</f>
        <v>-1.48378708835396</v>
      </c>
      <c r="BP39" s="15" t="n">
        <f aca="false">(W39-'Ensemble Parameters'!$B$23)/'Ensemble Parameters'!$C$23</f>
        <v>-1.50032007812526</v>
      </c>
      <c r="BQ39" s="15" t="n">
        <f aca="false">AVERAGE(BO39:BP39)</f>
        <v>-1.49205358323961</v>
      </c>
      <c r="BR39" s="15" t="n">
        <f aca="false">(AQ39-'Ensemble Parameters'!$B$24)/'Ensemble Parameters'!$C$24</f>
        <v>-1.08878764948094</v>
      </c>
      <c r="BS39" s="15" t="n">
        <f aca="false">BM39*'Ensemble Parameters'!$B$5+BN39*'Ensemble Parameters'!$B$6+BQ39*'Ensemble Parameters'!$B$8+BR39*'Ensemble Parameters'!$B$7</f>
        <v>-1.24697194864303</v>
      </c>
      <c r="BT39" s="16" t="n">
        <f aca="false">'Ensemble Parameters'!$B$11+'Ensemble Parameters'!$B$12*BS39</f>
        <v>87.5302805135697</v>
      </c>
      <c r="BU39" s="17" t="n">
        <f aca="false">'Ensemble Parameters'!$B$13*BS39</f>
        <v>-17.4576072810024</v>
      </c>
      <c r="BV39" s="18" t="n">
        <f aca="false">RANK(BT39,$BT$5:$BT$125,0)</f>
        <v>121</v>
      </c>
      <c r="BW39" s="15" t="n">
        <f aca="false">STDEV(BM39,BN39,BQ39,BR39)</f>
        <v>0.204973103327033</v>
      </c>
      <c r="BX39" s="19" t="str">
        <f aca="false">IF(BW39&lt;'Ensemble Parameters'!$B$14,"High",IF(BW39&lt;'Ensemble Parameters'!$B$15,"Moderate","Low"))</f>
        <v>High</v>
      </c>
      <c r="BY39" s="19" t="str">
        <f aca="false">IF(BX39="Low","REVIEW — MODEL DISAGREEMENT","")</f>
        <v/>
      </c>
      <c r="BZ39" s="20" t="n">
        <v>4</v>
      </c>
    </row>
    <row r="40" customFormat="false" ht="15" hidden="false" customHeight="true" outlineLevel="0" collapsed="false">
      <c r="A40" s="7" t="s">
        <v>156</v>
      </c>
      <c r="B40" s="7" t="s">
        <v>161</v>
      </c>
      <c r="C40" s="7" t="s">
        <v>162</v>
      </c>
      <c r="D40" s="7" t="n">
        <v>104</v>
      </c>
      <c r="E40" s="7" t="s">
        <v>162</v>
      </c>
      <c r="F40" s="8" t="n">
        <v>20.582128808</v>
      </c>
      <c r="G40" s="9" t="n">
        <v>109</v>
      </c>
      <c r="H40" s="8" t="n">
        <v>4.1889829657577</v>
      </c>
      <c r="I40" s="8" t="n">
        <v>8.0151799107269</v>
      </c>
      <c r="J40" s="7" t="s">
        <v>83</v>
      </c>
      <c r="K40" s="7" t="s">
        <v>84</v>
      </c>
      <c r="L40" s="8" t="n">
        <v>-9.29324279578411</v>
      </c>
      <c r="M40" s="8" t="n">
        <v>90.7067572042159</v>
      </c>
      <c r="N40" s="9" t="n">
        <v>104</v>
      </c>
      <c r="O40" s="8" t="n">
        <v>0.544209523809524</v>
      </c>
      <c r="P40" s="8" t="n">
        <v>0.707352380952383</v>
      </c>
      <c r="Q40" s="7" t="s">
        <v>85</v>
      </c>
      <c r="R40" s="1" t="s">
        <v>86</v>
      </c>
      <c r="S40" s="10" t="n">
        <v>0.346718</v>
      </c>
      <c r="T40" s="11" t="n">
        <v>102</v>
      </c>
      <c r="U40" s="10" t="n">
        <v>0.351383</v>
      </c>
      <c r="V40" s="11" t="n">
        <v>96</v>
      </c>
      <c r="W40" s="10" t="n">
        <v>0.378345</v>
      </c>
      <c r="X40" s="11" t="n">
        <v>98</v>
      </c>
      <c r="Y40" s="10" t="n">
        <v>0.380198780095</v>
      </c>
      <c r="Z40" s="11" t="n">
        <v>96</v>
      </c>
      <c r="AA40" s="10" t="n">
        <v>0.0875</v>
      </c>
      <c r="AB40" s="10" t="n">
        <v>0.6795</v>
      </c>
      <c r="AC40" s="10" t="n">
        <v>0.4326</v>
      </c>
      <c r="AD40" s="10" t="n">
        <v>0.2867</v>
      </c>
      <c r="AE40" s="10" t="n">
        <v>0.75</v>
      </c>
      <c r="AF40" s="10" t="n">
        <v>0.3992</v>
      </c>
      <c r="AG40" s="12" t="n">
        <v>9.12</v>
      </c>
      <c r="AH40" s="11" t="n">
        <v>-6</v>
      </c>
      <c r="AI40" s="1" t="s">
        <v>87</v>
      </c>
      <c r="AJ40" s="12" t="n">
        <v>5.15</v>
      </c>
      <c r="AK40" s="12" t="n">
        <v>5.29</v>
      </c>
      <c r="AL40" s="12" t="n">
        <v>6.42</v>
      </c>
      <c r="AM40" s="13" t="n">
        <v>-20.4667054985835</v>
      </c>
      <c r="AN40" s="11" t="n">
        <v>110</v>
      </c>
      <c r="AO40" s="11" t="n">
        <v>12</v>
      </c>
      <c r="AP40" s="14" t="s">
        <v>88</v>
      </c>
      <c r="AQ40" s="13" t="n">
        <v>-14.3266938490084</v>
      </c>
      <c r="AR40" s="11" t="n">
        <v>112</v>
      </c>
      <c r="AS40" s="13" t="n">
        <v>0.905596570057449</v>
      </c>
      <c r="AT40" s="13" t="n">
        <v>-13.421097278951</v>
      </c>
      <c r="AU40" s="11" t="n">
        <v>103</v>
      </c>
      <c r="AV40" s="10"/>
      <c r="AW40" s="14" t="s">
        <v>89</v>
      </c>
      <c r="AX40" s="14" t="s">
        <v>90</v>
      </c>
      <c r="AY40" s="10" t="n">
        <v>-10.1573882503296</v>
      </c>
      <c r="AZ40" s="10" t="n">
        <v>89.8426117496704</v>
      </c>
      <c r="BA40" s="11" t="n">
        <v>110</v>
      </c>
      <c r="BB40" s="14" t="s">
        <v>91</v>
      </c>
      <c r="BC40" s="10"/>
      <c r="BD40" s="11"/>
      <c r="BE40" s="14" t="s">
        <v>92</v>
      </c>
      <c r="BF40" s="10" t="n">
        <v>0.0082526911223482</v>
      </c>
      <c r="BG40" s="11" t="n">
        <v>104</v>
      </c>
      <c r="BH40" s="11" t="n">
        <v>12</v>
      </c>
      <c r="BI40" s="11" t="n">
        <v>12</v>
      </c>
      <c r="BJ40" s="11" t="n">
        <v>0</v>
      </c>
      <c r="BK40" s="10"/>
      <c r="BL40" s="14" t="s">
        <v>93</v>
      </c>
      <c r="BM40" s="15" t="n">
        <f aca="false">(F40-'Ensemble Parameters'!$B$20)/'Ensemble Parameters'!$C$20</f>
        <v>-1.04771546592087</v>
      </c>
      <c r="BN40" s="15" t="n">
        <f aca="false">(L40-'Ensemble Parameters'!$B$21)/'Ensemble Parameters'!$C$21</f>
        <v>-0.974126439704957</v>
      </c>
      <c r="BO40" s="15" t="n">
        <f aca="false">(S40-'Ensemble Parameters'!$B$22)/'Ensemble Parameters'!$C$22</f>
        <v>-0.91499628792923</v>
      </c>
      <c r="BP40" s="15" t="n">
        <f aca="false">(W40-'Ensemble Parameters'!$B$23)/'Ensemble Parameters'!$C$23</f>
        <v>-0.863687177270263</v>
      </c>
      <c r="BQ40" s="15" t="n">
        <f aca="false">AVERAGE(BO40:BP40)</f>
        <v>-0.889341732599747</v>
      </c>
      <c r="BR40" s="15" t="n">
        <f aca="false">(AQ40-'Ensemble Parameters'!$B$24)/'Ensemble Parameters'!$C$24</f>
        <v>-0.944947380592877</v>
      </c>
      <c r="BS40" s="15" t="n">
        <f aca="false">BM40*'Ensemble Parameters'!$B$5+BN40*'Ensemble Parameters'!$B$6+BQ40*'Ensemble Parameters'!$B$8+BR40*'Ensemble Parameters'!$B$7</f>
        <v>-0.964032754704613</v>
      </c>
      <c r="BT40" s="16" t="n">
        <f aca="false">'Ensemble Parameters'!$B$11+'Ensemble Parameters'!$B$12*BS40</f>
        <v>90.3596724529539</v>
      </c>
      <c r="BU40" s="17" t="n">
        <f aca="false">'Ensemble Parameters'!$B$13*BS40</f>
        <v>-13.4964585658646</v>
      </c>
      <c r="BV40" s="18" t="n">
        <f aca="false">RANK(BT40,$BT$5:$BT$125,0)</f>
        <v>110</v>
      </c>
      <c r="BW40" s="15" t="n">
        <f aca="false">STDEV(BM40,BN40,BQ40,BR40)</f>
        <v>0.0659486641801655</v>
      </c>
      <c r="BX40" s="19" t="str">
        <f aca="false">IF(BW40&lt;'Ensemble Parameters'!$B$14,"High",IF(BW40&lt;'Ensemble Parameters'!$B$15,"Moderate","Low"))</f>
        <v>High</v>
      </c>
      <c r="BY40" s="19" t="str">
        <f aca="false">IF(BX40="Low","REVIEW — MODEL DISAGREEMENT","")</f>
        <v/>
      </c>
      <c r="BZ40" s="20" t="n">
        <v>4</v>
      </c>
    </row>
    <row r="41" customFormat="false" ht="15" hidden="false" customHeight="true" outlineLevel="0" collapsed="false">
      <c r="A41" s="7" t="s">
        <v>156</v>
      </c>
      <c r="B41" s="7" t="s">
        <v>163</v>
      </c>
      <c r="C41" s="7" t="s">
        <v>164</v>
      </c>
      <c r="D41" s="7" t="n">
        <v>105</v>
      </c>
      <c r="E41" s="7" t="s">
        <v>164</v>
      </c>
      <c r="F41" s="8" t="n">
        <v>21.627712144</v>
      </c>
      <c r="G41" s="9" t="n">
        <v>96</v>
      </c>
      <c r="H41" s="8" t="n">
        <v>4.06586206141737</v>
      </c>
      <c r="I41" s="8" t="n">
        <v>9.43012595974789</v>
      </c>
      <c r="J41" s="7" t="s">
        <v>83</v>
      </c>
      <c r="K41" s="7" t="s">
        <v>84</v>
      </c>
      <c r="L41" s="8" t="n">
        <v>-10.4651500539979</v>
      </c>
      <c r="M41" s="8" t="n">
        <v>89.5348499460022</v>
      </c>
      <c r="N41" s="9" t="n">
        <v>113</v>
      </c>
      <c r="O41" s="8" t="n">
        <v>0.5154</v>
      </c>
      <c r="P41" s="8" t="n">
        <v>0.2464</v>
      </c>
      <c r="Q41" s="7" t="s">
        <v>85</v>
      </c>
      <c r="R41" s="1" t="s">
        <v>86</v>
      </c>
      <c r="S41" s="10" t="n">
        <v>0.338874</v>
      </c>
      <c r="T41" s="11" t="n">
        <v>103</v>
      </c>
      <c r="U41" s="10" t="n">
        <v>0.349569</v>
      </c>
      <c r="V41" s="11" t="n">
        <v>102</v>
      </c>
      <c r="W41" s="10" t="n">
        <v>0.370385</v>
      </c>
      <c r="X41" s="11" t="n">
        <v>101</v>
      </c>
      <c r="Y41" s="10" t="n">
        <v>0.378279676535</v>
      </c>
      <c r="Z41" s="11" t="n">
        <v>102</v>
      </c>
      <c r="AA41" s="10" t="n">
        <v>0.1072</v>
      </c>
      <c r="AB41" s="10" t="n">
        <v>0.5507</v>
      </c>
      <c r="AC41" s="10" t="n">
        <v>0.4353</v>
      </c>
      <c r="AD41" s="10" t="n">
        <v>0.389</v>
      </c>
      <c r="AE41" s="10" t="n">
        <v>0.75</v>
      </c>
      <c r="AF41" s="10" t="n">
        <v>0.4592</v>
      </c>
      <c r="AG41" s="12" t="n">
        <v>9.54</v>
      </c>
      <c r="AH41" s="11" t="n">
        <v>-1</v>
      </c>
      <c r="AI41" s="1" t="s">
        <v>87</v>
      </c>
      <c r="AJ41" s="12" t="n">
        <v>5.33</v>
      </c>
      <c r="AK41" s="12" t="n">
        <v>5.49</v>
      </c>
      <c r="AL41" s="12" t="n">
        <v>6.26</v>
      </c>
      <c r="AM41" s="13" t="n">
        <v>-22.6441970097086</v>
      </c>
      <c r="AN41" s="11" t="n">
        <v>117</v>
      </c>
      <c r="AO41" s="11" t="n">
        <v>12</v>
      </c>
      <c r="AP41" s="14" t="s">
        <v>88</v>
      </c>
      <c r="AQ41" s="13" t="n">
        <v>-15.850937906796</v>
      </c>
      <c r="AR41" s="11" t="n">
        <v>119</v>
      </c>
      <c r="AS41" s="13" t="n">
        <v>0.482901955741363</v>
      </c>
      <c r="AT41" s="13" t="n">
        <v>-15.3680359510546</v>
      </c>
      <c r="AU41" s="11" t="n">
        <v>116</v>
      </c>
      <c r="AV41" s="10"/>
      <c r="AW41" s="14" t="s">
        <v>89</v>
      </c>
      <c r="AX41" s="14" t="s">
        <v>90</v>
      </c>
      <c r="AY41" s="10" t="n">
        <v>-10.8492955085433</v>
      </c>
      <c r="AZ41" s="10" t="n">
        <v>89.1507044914567</v>
      </c>
      <c r="BA41" s="11" t="n">
        <v>112</v>
      </c>
      <c r="BB41" s="14" t="s">
        <v>91</v>
      </c>
      <c r="BC41" s="10"/>
      <c r="BD41" s="11"/>
      <c r="BE41" s="14" t="s">
        <v>92</v>
      </c>
      <c r="BF41" s="10" t="n">
        <v>0.00826730229045668</v>
      </c>
      <c r="BG41" s="11" t="n">
        <v>93</v>
      </c>
      <c r="BH41" s="11" t="n">
        <v>12</v>
      </c>
      <c r="BI41" s="11" t="n">
        <v>12</v>
      </c>
      <c r="BJ41" s="11" t="n">
        <v>0</v>
      </c>
      <c r="BK41" s="10"/>
      <c r="BL41" s="14" t="s">
        <v>93</v>
      </c>
      <c r="BM41" s="15" t="n">
        <f aca="false">(F41-'Ensemble Parameters'!$B$20)/'Ensemble Parameters'!$C$20</f>
        <v>-0.80786362567178</v>
      </c>
      <c r="BN41" s="15" t="n">
        <f aca="false">(L41-'Ensemble Parameters'!$B$21)/'Ensemble Parameters'!$C$21</f>
        <v>-1.09696685937268</v>
      </c>
      <c r="BO41" s="15" t="n">
        <f aca="false">(S41-'Ensemble Parameters'!$B$22)/'Ensemble Parameters'!$C$22</f>
        <v>-0.969697500961261</v>
      </c>
      <c r="BP41" s="15" t="n">
        <f aca="false">(W41-'Ensemble Parameters'!$B$23)/'Ensemble Parameters'!$C$23</f>
        <v>-0.926057612849411</v>
      </c>
      <c r="BQ41" s="15" t="n">
        <f aca="false">AVERAGE(BO41:BP41)</f>
        <v>-0.947877556905336</v>
      </c>
      <c r="BR41" s="15" t="n">
        <f aca="false">(AQ41-'Ensemble Parameters'!$B$24)/'Ensemble Parameters'!$C$24</f>
        <v>-1.04608634127834</v>
      </c>
      <c r="BS41" s="15" t="n">
        <f aca="false">BM41*'Ensemble Parameters'!$B$5+BN41*'Ensemble Parameters'!$B$6+BQ41*'Ensemble Parameters'!$B$8+BR41*'Ensemble Parameters'!$B$7</f>
        <v>-0.974698595807035</v>
      </c>
      <c r="BT41" s="16" t="n">
        <f aca="false">'Ensemble Parameters'!$B$11+'Ensemble Parameters'!$B$12*BS41</f>
        <v>90.2530140419297</v>
      </c>
      <c r="BU41" s="17" t="n">
        <f aca="false">'Ensemble Parameters'!$B$13*BS41</f>
        <v>-13.6457803412985</v>
      </c>
      <c r="BV41" s="18" t="n">
        <f aca="false">RANK(BT41,$BT$5:$BT$125,0)</f>
        <v>111</v>
      </c>
      <c r="BW41" s="15" t="n">
        <f aca="false">STDEV(BM41,BN41,BQ41,BR41)</f>
        <v>0.127277929307785</v>
      </c>
      <c r="BX41" s="19" t="str">
        <f aca="false">IF(BW41&lt;'Ensemble Parameters'!$B$14,"High",IF(BW41&lt;'Ensemble Parameters'!$B$15,"Moderate","Low"))</f>
        <v>High</v>
      </c>
      <c r="BY41" s="19" t="str">
        <f aca="false">IF(BX41="Low","REVIEW — MODEL DISAGREEMENT","")</f>
        <v/>
      </c>
      <c r="BZ41" s="20" t="n">
        <v>4</v>
      </c>
    </row>
    <row r="42" customFormat="false" ht="15" hidden="false" customHeight="true" outlineLevel="0" collapsed="false">
      <c r="A42" s="7" t="s">
        <v>156</v>
      </c>
      <c r="B42" s="7" t="s">
        <v>165</v>
      </c>
      <c r="C42" s="7" t="s">
        <v>166</v>
      </c>
      <c r="D42" s="7" t="n">
        <v>106</v>
      </c>
      <c r="E42" s="7" t="s">
        <v>166</v>
      </c>
      <c r="F42" s="8" t="n">
        <v>20.02962991</v>
      </c>
      <c r="G42" s="9" t="n">
        <v>116</v>
      </c>
      <c r="H42" s="8" t="n">
        <v>4.23211596394234</v>
      </c>
      <c r="I42" s="8" t="n">
        <v>7.33328201817297</v>
      </c>
      <c r="J42" s="7" t="s">
        <v>83</v>
      </c>
      <c r="K42" s="7" t="s">
        <v>84</v>
      </c>
      <c r="L42" s="8" t="n">
        <v>-11.0647951611154</v>
      </c>
      <c r="M42" s="8" t="n">
        <v>88.9352048388846</v>
      </c>
      <c r="N42" s="9" t="n">
        <v>117</v>
      </c>
      <c r="O42" s="8" t="n">
        <v>0.473304761904762</v>
      </c>
      <c r="P42" s="8" t="n">
        <v>-0.427123809523809</v>
      </c>
      <c r="Q42" s="7" t="s">
        <v>85</v>
      </c>
      <c r="R42" s="1" t="s">
        <v>86</v>
      </c>
      <c r="S42" s="10" t="n">
        <v>0.297686</v>
      </c>
      <c r="T42" s="11" t="n">
        <v>113</v>
      </c>
      <c r="U42" s="10" t="n">
        <v>0.303954</v>
      </c>
      <c r="V42" s="11" t="n">
        <v>115</v>
      </c>
      <c r="W42" s="10" t="n">
        <v>0.335085</v>
      </c>
      <c r="X42" s="11" t="n">
        <v>111</v>
      </c>
      <c r="Y42" s="10" t="n">
        <v>0.338028559235</v>
      </c>
      <c r="Z42" s="11" t="n">
        <v>115</v>
      </c>
      <c r="AA42" s="10" t="n">
        <v>0.0672</v>
      </c>
      <c r="AB42" s="10" t="n">
        <v>0.4222</v>
      </c>
      <c r="AC42" s="10" t="n">
        <v>0.4433</v>
      </c>
      <c r="AD42" s="10" t="n">
        <v>0.413</v>
      </c>
      <c r="AE42" s="10" t="n">
        <v>0.75</v>
      </c>
      <c r="AF42" s="10" t="n">
        <v>0.3682</v>
      </c>
      <c r="AG42" s="12" t="n">
        <v>10.88</v>
      </c>
      <c r="AH42" s="11" t="n">
        <v>2</v>
      </c>
      <c r="AI42" s="1" t="s">
        <v>87</v>
      </c>
      <c r="AJ42" s="12" t="n">
        <v>4.12</v>
      </c>
      <c r="AK42" s="12" t="n">
        <v>4.33</v>
      </c>
      <c r="AL42" s="12" t="n">
        <v>4.63</v>
      </c>
      <c r="AM42" s="13" t="n">
        <v>-21.8032587018118</v>
      </c>
      <c r="AN42" s="11" t="n">
        <v>114</v>
      </c>
      <c r="AO42" s="11" t="n">
        <v>12</v>
      </c>
      <c r="AP42" s="14" t="s">
        <v>88</v>
      </c>
      <c r="AQ42" s="13" t="n">
        <v>-15.2622810912683</v>
      </c>
      <c r="AR42" s="11" t="n">
        <v>116</v>
      </c>
      <c r="AS42" s="13" t="n">
        <v>0.126436213379339</v>
      </c>
      <c r="AT42" s="13" t="n">
        <v>-15.1358448778889</v>
      </c>
      <c r="AU42" s="11" t="n">
        <v>113</v>
      </c>
      <c r="AV42" s="10"/>
      <c r="AW42" s="14" t="s">
        <v>89</v>
      </c>
      <c r="AX42" s="14" t="s">
        <v>90</v>
      </c>
      <c r="AY42" s="10" t="n">
        <v>-12.1769406156609</v>
      </c>
      <c r="AZ42" s="10" t="n">
        <v>87.8230593843392</v>
      </c>
      <c r="BA42" s="11" t="n">
        <v>115</v>
      </c>
      <c r="BB42" s="14" t="s">
        <v>91</v>
      </c>
      <c r="BC42" s="10"/>
      <c r="BD42" s="11"/>
      <c r="BE42" s="14" t="s">
        <v>92</v>
      </c>
      <c r="BF42" s="10" t="n">
        <v>0.0082623995491681</v>
      </c>
      <c r="BG42" s="11" t="n">
        <v>96</v>
      </c>
      <c r="BH42" s="11" t="n">
        <v>12</v>
      </c>
      <c r="BI42" s="11" t="n">
        <v>12</v>
      </c>
      <c r="BJ42" s="11" t="n">
        <v>0</v>
      </c>
      <c r="BK42" s="10"/>
      <c r="BL42" s="14" t="s">
        <v>93</v>
      </c>
      <c r="BM42" s="15" t="n">
        <f aca="false">(F42-'Ensemble Parameters'!$B$20)/'Ensemble Parameters'!$C$20</f>
        <v>-1.17445608319951</v>
      </c>
      <c r="BN42" s="15" t="n">
        <f aca="false">(L42-'Ensemble Parameters'!$B$21)/'Ensemble Parameters'!$C$21</f>
        <v>-1.15982222279307</v>
      </c>
      <c r="BO42" s="15" t="n">
        <f aca="false">(S42-'Ensemble Parameters'!$B$22)/'Ensemble Parameters'!$C$22</f>
        <v>-1.25692768484235</v>
      </c>
      <c r="BP42" s="15" t="n">
        <f aca="false">(W42-'Ensemble Parameters'!$B$23)/'Ensemble Parameters'!$C$23</f>
        <v>-1.2026501223901</v>
      </c>
      <c r="BQ42" s="15" t="n">
        <f aca="false">AVERAGE(BO42:BP42)</f>
        <v>-1.22978890361623</v>
      </c>
      <c r="BR42" s="15" t="n">
        <f aca="false">(AQ42-'Ensemble Parameters'!$B$24)/'Ensemble Parameters'!$C$24</f>
        <v>-1.00702688868037</v>
      </c>
      <c r="BS42" s="15" t="n">
        <f aca="false">BM42*'Ensemble Parameters'!$B$5+BN42*'Ensemble Parameters'!$B$6+BQ42*'Ensemble Parameters'!$B$8+BR42*'Ensemble Parameters'!$B$7</f>
        <v>-1.14277352457229</v>
      </c>
      <c r="BT42" s="16" t="n">
        <f aca="false">'Ensemble Parameters'!$B$11+'Ensemble Parameters'!$B$12*BS42</f>
        <v>88.5722647542771</v>
      </c>
      <c r="BU42" s="17" t="n">
        <f aca="false">'Ensemble Parameters'!$B$13*BS42</f>
        <v>-15.9988293440121</v>
      </c>
      <c r="BV42" s="18" t="n">
        <f aca="false">RANK(BT42,$BT$5:$BT$125,0)</f>
        <v>119</v>
      </c>
      <c r="BW42" s="15" t="n">
        <f aca="false">STDEV(BM42,BN42,BQ42,BR42)</f>
        <v>0.0953821576227669</v>
      </c>
      <c r="BX42" s="19" t="str">
        <f aca="false">IF(BW42&lt;'Ensemble Parameters'!$B$14,"High",IF(BW42&lt;'Ensemble Parameters'!$B$15,"Moderate","Low"))</f>
        <v>High</v>
      </c>
      <c r="BY42" s="19" t="str">
        <f aca="false">IF(BX42="Low","REVIEW — MODEL DISAGREEMENT","")</f>
        <v/>
      </c>
      <c r="BZ42" s="20" t="n">
        <v>4</v>
      </c>
    </row>
    <row r="43" customFormat="false" ht="15" hidden="false" customHeight="true" outlineLevel="0" collapsed="false">
      <c r="A43" s="7" t="s">
        <v>156</v>
      </c>
      <c r="B43" s="7" t="s">
        <v>167</v>
      </c>
      <c r="C43" s="7" t="s">
        <v>168</v>
      </c>
      <c r="D43" s="7" t="n">
        <v>107</v>
      </c>
      <c r="E43" s="7" t="s">
        <v>168</v>
      </c>
      <c r="F43" s="8" t="n">
        <v>22.556203127</v>
      </c>
      <c r="G43" s="9" t="n">
        <v>79</v>
      </c>
      <c r="H43" s="8" t="n">
        <v>4.07117360420578</v>
      </c>
      <c r="I43" s="8" t="n">
        <v>10.3426823143827</v>
      </c>
      <c r="J43" s="7" t="s">
        <v>83</v>
      </c>
      <c r="K43" s="7" t="s">
        <v>84</v>
      </c>
      <c r="L43" s="8" t="n">
        <v>-8.97867979622897</v>
      </c>
      <c r="M43" s="8" t="n">
        <v>91.021320203771</v>
      </c>
      <c r="N43" s="9" t="n">
        <v>101</v>
      </c>
      <c r="O43" s="8" t="n">
        <v>0.472704761904762</v>
      </c>
      <c r="P43" s="8" t="n">
        <v>-0.43672380952381</v>
      </c>
      <c r="Q43" s="7" t="s">
        <v>85</v>
      </c>
      <c r="R43" s="1" t="s">
        <v>86</v>
      </c>
      <c r="S43" s="10" t="n">
        <v>0.348462</v>
      </c>
      <c r="T43" s="11" t="n">
        <v>99</v>
      </c>
      <c r="U43" s="10" t="n">
        <v>0.354181</v>
      </c>
      <c r="V43" s="11" t="n">
        <v>105</v>
      </c>
      <c r="W43" s="10" t="n">
        <v>0.37569</v>
      </c>
      <c r="X43" s="11" t="n">
        <v>100</v>
      </c>
      <c r="Y43" s="10" t="n">
        <v>0.37898867079</v>
      </c>
      <c r="Z43" s="11" t="n">
        <v>105</v>
      </c>
      <c r="AA43" s="10" t="n">
        <v>0.1854</v>
      </c>
      <c r="AB43" s="10" t="n">
        <v>0.387</v>
      </c>
      <c r="AC43" s="10" t="n">
        <v>0.4388</v>
      </c>
      <c r="AD43" s="10" t="n">
        <v>0.487</v>
      </c>
      <c r="AE43" s="10" t="n">
        <v>0.75</v>
      </c>
      <c r="AF43" s="10" t="n">
        <v>0.4128</v>
      </c>
      <c r="AG43" s="12" t="n">
        <v>10.12</v>
      </c>
      <c r="AH43" s="11" t="n">
        <v>6</v>
      </c>
      <c r="AI43" s="1" t="s">
        <v>87</v>
      </c>
      <c r="AJ43" s="12" t="n">
        <v>6.3</v>
      </c>
      <c r="AK43" s="12" t="n">
        <v>6.34</v>
      </c>
      <c r="AL43" s="12" t="n">
        <v>6.24</v>
      </c>
      <c r="AM43" s="13" t="n">
        <v>-19.1247769638444</v>
      </c>
      <c r="AN43" s="11" t="n">
        <v>100</v>
      </c>
      <c r="AO43" s="11" t="n">
        <v>12</v>
      </c>
      <c r="AP43" s="14" t="s">
        <v>88</v>
      </c>
      <c r="AQ43" s="13" t="n">
        <v>-13.3873438746911</v>
      </c>
      <c r="AR43" s="11" t="n">
        <v>102</v>
      </c>
      <c r="AS43" s="13" t="n">
        <v>-0.323947586344329</v>
      </c>
      <c r="AT43" s="13" t="n">
        <v>-13.7112914610354</v>
      </c>
      <c r="AU43" s="11" t="n">
        <v>106</v>
      </c>
      <c r="AV43" s="10"/>
      <c r="AW43" s="14" t="s">
        <v>89</v>
      </c>
      <c r="AX43" s="14" t="s">
        <v>90</v>
      </c>
      <c r="AY43" s="10" t="n">
        <v>-9.73402525077442</v>
      </c>
      <c r="AZ43" s="10" t="n">
        <v>90.2659747492256</v>
      </c>
      <c r="BA43" s="11" t="n">
        <v>102</v>
      </c>
      <c r="BB43" s="14" t="s">
        <v>91</v>
      </c>
      <c r="BC43" s="10"/>
      <c r="BD43" s="11"/>
      <c r="BE43" s="14" t="s">
        <v>92</v>
      </c>
      <c r="BF43" s="10" t="n">
        <v>0.0088586985457271</v>
      </c>
      <c r="BG43" s="11" t="n">
        <v>2</v>
      </c>
      <c r="BH43" s="11" t="n">
        <v>13</v>
      </c>
      <c r="BI43" s="11" t="n">
        <v>13</v>
      </c>
      <c r="BJ43" s="11" t="n">
        <v>0</v>
      </c>
      <c r="BK43" s="10"/>
      <c r="BL43" s="14" t="s">
        <v>93</v>
      </c>
      <c r="BM43" s="15" t="n">
        <f aca="false">(F43-'Ensemble Parameters'!$B$20)/'Ensemble Parameters'!$C$20</f>
        <v>-0.594872213835393</v>
      </c>
      <c r="BN43" s="15" t="n">
        <f aca="false">(L43-'Ensemble Parameters'!$B$21)/'Ensemble Parameters'!$C$21</f>
        <v>-0.9411536505986</v>
      </c>
      <c r="BO43" s="15" t="n">
        <f aca="false">(S43-'Ensemble Parameters'!$B$22)/'Ensemble Parameters'!$C$22</f>
        <v>-0.902834264022058</v>
      </c>
      <c r="BP43" s="15" t="n">
        <f aca="false">(W43-'Ensemble Parameters'!$B$23)/'Ensemble Parameters'!$C$23</f>
        <v>-0.88449038159974</v>
      </c>
      <c r="BQ43" s="15" t="n">
        <f aca="false">AVERAGE(BO43:BP43)</f>
        <v>-0.893662322810899</v>
      </c>
      <c r="BR43" s="15" t="n">
        <f aca="false">(AQ43-'Ensemble Parameters'!$B$24)/'Ensemble Parameters'!$C$24</f>
        <v>-0.88261820198334</v>
      </c>
      <c r="BS43" s="15" t="n">
        <f aca="false">BM43*'Ensemble Parameters'!$B$5+BN43*'Ensemble Parameters'!$B$6+BQ43*'Ensemble Parameters'!$B$8+BR43*'Ensemble Parameters'!$B$7</f>
        <v>-0.828076597307058</v>
      </c>
      <c r="BT43" s="16" t="n">
        <f aca="false">'Ensemble Parameters'!$B$11+'Ensemble Parameters'!$B$12*BS43</f>
        <v>91.7192340269294</v>
      </c>
      <c r="BU43" s="17" t="n">
        <f aca="false">'Ensemble Parameters'!$B$13*BS43</f>
        <v>-11.5930723622988</v>
      </c>
      <c r="BV43" s="18" t="n">
        <f aca="false">RANK(BT43,$BT$5:$BT$125,0)</f>
        <v>98</v>
      </c>
      <c r="BW43" s="15" t="n">
        <f aca="false">STDEV(BM43,BN43,BQ43,BR43)</f>
        <v>0.157529868577387</v>
      </c>
      <c r="BX43" s="19" t="str">
        <f aca="false">IF(BW43&lt;'Ensemble Parameters'!$B$14,"High",IF(BW43&lt;'Ensemble Parameters'!$B$15,"Moderate","Low"))</f>
        <v>High</v>
      </c>
      <c r="BY43" s="19" t="str">
        <f aca="false">IF(BX43="Low","REVIEW — MODEL DISAGREEMENT","")</f>
        <v/>
      </c>
      <c r="BZ43" s="20" t="n">
        <v>4</v>
      </c>
    </row>
    <row r="44" customFormat="false" ht="15" hidden="false" customHeight="true" outlineLevel="0" collapsed="false">
      <c r="A44" s="7" t="s">
        <v>156</v>
      </c>
      <c r="B44" s="7" t="s">
        <v>169</v>
      </c>
      <c r="C44" s="7" t="s">
        <v>170</v>
      </c>
      <c r="D44" s="7" t="n">
        <v>108</v>
      </c>
      <c r="E44" s="7" t="s">
        <v>170</v>
      </c>
      <c r="F44" s="8" t="n">
        <v>22.953468317</v>
      </c>
      <c r="G44" s="9" t="n">
        <v>72</v>
      </c>
      <c r="H44" s="8" t="n">
        <v>4.13653774463427</v>
      </c>
      <c r="I44" s="8" t="n">
        <v>10.5438550830972</v>
      </c>
      <c r="J44" s="7" t="s">
        <v>83</v>
      </c>
      <c r="K44" s="7" t="s">
        <v>84</v>
      </c>
      <c r="L44" s="8" t="n">
        <v>-7.78471832023152</v>
      </c>
      <c r="M44" s="8" t="n">
        <v>92.2152816797685</v>
      </c>
      <c r="N44" s="9" t="n">
        <v>92</v>
      </c>
      <c r="O44" s="8" t="n">
        <v>0.533276190476191</v>
      </c>
      <c r="P44" s="8" t="n">
        <v>0.532419047619047</v>
      </c>
      <c r="Q44" s="7" t="s">
        <v>85</v>
      </c>
      <c r="R44" s="1" t="s">
        <v>86</v>
      </c>
      <c r="S44" s="10" t="n">
        <v>0.403561</v>
      </c>
      <c r="T44" s="11" t="n">
        <v>74</v>
      </c>
      <c r="U44" s="10" t="n">
        <v>0.416791</v>
      </c>
      <c r="V44" s="11" t="n">
        <v>77</v>
      </c>
      <c r="W44" s="10" t="n">
        <v>0.424215</v>
      </c>
      <c r="X44" s="11" t="n">
        <v>72</v>
      </c>
      <c r="Y44" s="10" t="n">
        <v>0.435609236465</v>
      </c>
      <c r="Z44" s="11" t="n">
        <v>77</v>
      </c>
      <c r="AA44" s="10" t="n">
        <v>0.2333</v>
      </c>
      <c r="AB44" s="10" t="n">
        <v>0.5743</v>
      </c>
      <c r="AC44" s="10" t="n">
        <v>0.4384</v>
      </c>
      <c r="AD44" s="10" t="n">
        <v>0.431</v>
      </c>
      <c r="AE44" s="10" t="n">
        <v>0.75</v>
      </c>
      <c r="AF44" s="10" t="n">
        <v>0.5524</v>
      </c>
      <c r="AG44" s="12" t="n">
        <v>10.06</v>
      </c>
      <c r="AH44" s="11" t="n">
        <v>3</v>
      </c>
      <c r="AI44" s="1" t="s">
        <v>87</v>
      </c>
      <c r="AJ44" s="12" t="n">
        <v>6.49</v>
      </c>
      <c r="AK44" s="12" t="n">
        <v>6.4</v>
      </c>
      <c r="AL44" s="12" t="n">
        <v>6.71</v>
      </c>
      <c r="AM44" s="13" t="n">
        <v>-19.2617890195442</v>
      </c>
      <c r="AN44" s="11" t="n">
        <v>101</v>
      </c>
      <c r="AO44" s="11" t="n">
        <v>13</v>
      </c>
      <c r="AP44" s="14" t="s">
        <v>88</v>
      </c>
      <c r="AQ44" s="13" t="n">
        <v>-13.4832523136809</v>
      </c>
      <c r="AR44" s="11" t="n">
        <v>103</v>
      </c>
      <c r="AS44" s="13" t="n">
        <v>0.250523015551049</v>
      </c>
      <c r="AT44" s="13" t="n">
        <v>-13.2327292981299</v>
      </c>
      <c r="AU44" s="11" t="n">
        <v>100</v>
      </c>
      <c r="AV44" s="10"/>
      <c r="AW44" s="14" t="s">
        <v>89</v>
      </c>
      <c r="AX44" s="14" t="s">
        <v>90</v>
      </c>
      <c r="AY44" s="10" t="n">
        <v>-7.42326377477698</v>
      </c>
      <c r="AZ44" s="10" t="n">
        <v>92.576736225223</v>
      </c>
      <c r="BA44" s="11" t="n">
        <v>91</v>
      </c>
      <c r="BB44" s="14" t="s">
        <v>91</v>
      </c>
      <c r="BC44" s="10"/>
      <c r="BD44" s="11"/>
      <c r="BE44" s="14" t="s">
        <v>92</v>
      </c>
      <c r="BF44" s="10" t="n">
        <v>0.00829705149184889</v>
      </c>
      <c r="BG44" s="11" t="n">
        <v>51</v>
      </c>
      <c r="BH44" s="11" t="n">
        <v>12</v>
      </c>
      <c r="BI44" s="11" t="n">
        <v>12</v>
      </c>
      <c r="BJ44" s="11" t="n">
        <v>0</v>
      </c>
      <c r="BK44" s="10"/>
      <c r="BL44" s="14" t="s">
        <v>93</v>
      </c>
      <c r="BM44" s="15" t="n">
        <f aca="false">(F44-'Ensemble Parameters'!$B$20)/'Ensemble Parameters'!$C$20</f>
        <v>-0.503741470251694</v>
      </c>
      <c r="BN44" s="15" t="n">
        <f aca="false">(L44-'Ensemble Parameters'!$B$21)/'Ensemble Parameters'!$C$21</f>
        <v>-0.816001487105583</v>
      </c>
      <c r="BO44" s="15" t="n">
        <f aca="false">(S44-'Ensemble Parameters'!$B$22)/'Ensemble Parameters'!$C$22</f>
        <v>-0.518593808023604</v>
      </c>
      <c r="BP44" s="15" t="n">
        <f aca="false">(W44-'Ensemble Parameters'!$B$23)/'Ensemble Parameters'!$C$23</f>
        <v>-0.504273624504497</v>
      </c>
      <c r="BQ44" s="15" t="n">
        <f aca="false">AVERAGE(BO44:BP44)</f>
        <v>-0.511433716264051</v>
      </c>
      <c r="BR44" s="15" t="n">
        <f aca="false">(AQ44-'Ensemble Parameters'!$B$24)/'Ensemble Parameters'!$C$24</f>
        <v>-0.88898206464092</v>
      </c>
      <c r="BS44" s="15" t="n">
        <f aca="false">BM44*'Ensemble Parameters'!$B$5+BN44*'Ensemble Parameters'!$B$6+BQ44*'Ensemble Parameters'!$B$8+BR44*'Ensemble Parameters'!$B$7</f>
        <v>-0.680039684565562</v>
      </c>
      <c r="BT44" s="16" t="n">
        <f aca="false">'Ensemble Parameters'!$B$11+'Ensemble Parameters'!$B$12*BS44</f>
        <v>93.1996031543444</v>
      </c>
      <c r="BU44" s="17" t="n">
        <f aca="false">'Ensemble Parameters'!$B$13*BS44</f>
        <v>-9.52055558391787</v>
      </c>
      <c r="BV44" s="18" t="n">
        <f aca="false">RANK(BT44,$BT$5:$BT$125,0)</f>
        <v>85</v>
      </c>
      <c r="BW44" s="15" t="n">
        <f aca="false">STDEV(BM44,BN44,BQ44,BR44)</f>
        <v>0.201371599171479</v>
      </c>
      <c r="BX44" s="19" t="str">
        <f aca="false">IF(BW44&lt;'Ensemble Parameters'!$B$14,"High",IF(BW44&lt;'Ensemble Parameters'!$B$15,"Moderate","Low"))</f>
        <v>High</v>
      </c>
      <c r="BY44" s="19" t="str">
        <f aca="false">IF(BX44="Low","REVIEW — MODEL DISAGREEMENT","")</f>
        <v/>
      </c>
      <c r="BZ44" s="20" t="n">
        <v>4</v>
      </c>
    </row>
    <row r="45" customFormat="false" ht="15" hidden="false" customHeight="true" outlineLevel="0" collapsed="false">
      <c r="A45" s="7" t="s">
        <v>156</v>
      </c>
      <c r="B45" s="7" t="s">
        <v>171</v>
      </c>
      <c r="C45" s="7" t="s">
        <v>172</v>
      </c>
      <c r="D45" s="7" t="n">
        <v>109</v>
      </c>
      <c r="E45" s="7" t="s">
        <v>172</v>
      </c>
      <c r="F45" s="8" t="n">
        <v>21.673311159</v>
      </c>
      <c r="G45" s="9" t="n">
        <v>94</v>
      </c>
      <c r="H45" s="8" t="n">
        <v>4.04850749269596</v>
      </c>
      <c r="I45" s="8" t="n">
        <v>9.52778868091212</v>
      </c>
      <c r="J45" s="7" t="s">
        <v>83</v>
      </c>
      <c r="K45" s="7" t="s">
        <v>84</v>
      </c>
      <c r="L45" s="8" t="n">
        <v>-11.4148011794808</v>
      </c>
      <c r="M45" s="8" t="n">
        <v>88.5851988205192</v>
      </c>
      <c r="N45" s="9" t="n">
        <v>119</v>
      </c>
      <c r="O45" s="8" t="n">
        <v>0.441742857142857</v>
      </c>
      <c r="P45" s="8" t="n">
        <v>-0.932114285714286</v>
      </c>
      <c r="Q45" s="7" t="s">
        <v>85</v>
      </c>
      <c r="R45" s="1" t="s">
        <v>86</v>
      </c>
      <c r="S45" s="10" t="n">
        <v>0.304647</v>
      </c>
      <c r="T45" s="11" t="n">
        <v>114</v>
      </c>
      <c r="U45" s="10" t="n">
        <v>0.302305</v>
      </c>
      <c r="V45" s="11" t="n">
        <v>117</v>
      </c>
      <c r="W45" s="10" t="n">
        <v>0.33764</v>
      </c>
      <c r="X45" s="11" t="n">
        <v>112</v>
      </c>
      <c r="Y45" s="10" t="n">
        <v>0.33236532674</v>
      </c>
      <c r="Z45" s="11" t="n">
        <v>117</v>
      </c>
      <c r="AA45" s="10" t="n">
        <v>0.1247</v>
      </c>
      <c r="AB45" s="10" t="n">
        <v>0.3749</v>
      </c>
      <c r="AC45" s="10" t="n">
        <v>0.4333</v>
      </c>
      <c r="AD45" s="10" t="n">
        <v>0.3569</v>
      </c>
      <c r="AE45" s="10" t="n">
        <v>0.75</v>
      </c>
      <c r="AF45" s="10" t="n">
        <v>0.2783</v>
      </c>
      <c r="AG45" s="12" t="n">
        <v>9.23</v>
      </c>
      <c r="AH45" s="11" t="n">
        <v>3</v>
      </c>
      <c r="AI45" s="1" t="s">
        <v>87</v>
      </c>
      <c r="AJ45" s="12" t="n">
        <v>5.14</v>
      </c>
      <c r="AK45" s="12" t="n">
        <v>5.32</v>
      </c>
      <c r="AL45" s="12" t="n">
        <v>5.66</v>
      </c>
      <c r="AM45" s="13" t="n">
        <v>-23.0656427269471</v>
      </c>
      <c r="AN45" s="11" t="n">
        <v>118</v>
      </c>
      <c r="AO45" s="11" t="n">
        <v>12</v>
      </c>
      <c r="AP45" s="14" t="s">
        <v>88</v>
      </c>
      <c r="AQ45" s="13" t="n">
        <v>-16.1459499088629</v>
      </c>
      <c r="AR45" s="11" t="n">
        <v>120</v>
      </c>
      <c r="AS45" s="13" t="n">
        <v>-0.498600494783626</v>
      </c>
      <c r="AT45" s="13" t="n">
        <v>-16.6445504036466</v>
      </c>
      <c r="AU45" s="11" t="n">
        <v>120</v>
      </c>
      <c r="AV45" s="10"/>
      <c r="AW45" s="14" t="s">
        <v>89</v>
      </c>
      <c r="AX45" s="14" t="s">
        <v>90</v>
      </c>
      <c r="AY45" s="10" t="n">
        <v>-13.2461466340263</v>
      </c>
      <c r="AZ45" s="10" t="n">
        <v>86.7538533659737</v>
      </c>
      <c r="BA45" s="11" t="n">
        <v>119</v>
      </c>
      <c r="BB45" s="14" t="s">
        <v>91</v>
      </c>
      <c r="BC45" s="10"/>
      <c r="BD45" s="11"/>
      <c r="BE45" s="14" t="s">
        <v>92</v>
      </c>
      <c r="BF45" s="10" t="n">
        <v>0.00826593241063214</v>
      </c>
      <c r="BG45" s="11" t="n">
        <v>94</v>
      </c>
      <c r="BH45" s="11" t="n">
        <v>12</v>
      </c>
      <c r="BI45" s="11" t="n">
        <v>12</v>
      </c>
      <c r="BJ45" s="11" t="n">
        <v>0</v>
      </c>
      <c r="BK45" s="10"/>
      <c r="BL45" s="14" t="s">
        <v>93</v>
      </c>
      <c r="BM45" s="15" t="n">
        <f aca="false">(F45-'Ensemble Parameters'!$B$20)/'Ensemble Parameters'!$C$20</f>
        <v>-0.797403428684387</v>
      </c>
      <c r="BN45" s="15" t="n">
        <f aca="false">(L45-'Ensemble Parameters'!$B$21)/'Ensemble Parameters'!$C$21</f>
        <v>-1.19651018242544</v>
      </c>
      <c r="BO45" s="15" t="n">
        <f aca="false">(S45-'Ensemble Parameters'!$B$22)/'Ensemble Parameters'!$C$22</f>
        <v>-1.20838419377709</v>
      </c>
      <c r="BP45" s="15" t="n">
        <f aca="false">(W45-'Ensemble Parameters'!$B$23)/'Ensemble Parameters'!$C$23</f>
        <v>-1.18263046624629</v>
      </c>
      <c r="BQ45" s="15" t="n">
        <f aca="false">AVERAGE(BO45:BP45)</f>
        <v>-1.19550733001169</v>
      </c>
      <c r="BR45" s="15" t="n">
        <f aca="false">(AQ45-'Ensemble Parameters'!$B$24)/'Ensemble Parameters'!$C$24</f>
        <v>-1.06566142646653</v>
      </c>
      <c r="BS45" s="15" t="n">
        <f aca="false">BM45*'Ensemble Parameters'!$B$5+BN45*'Ensemble Parameters'!$B$6+BQ45*'Ensemble Parameters'!$B$8+BR45*'Ensemble Parameters'!$B$7</f>
        <v>-1.06377059189701</v>
      </c>
      <c r="BT45" s="16" t="n">
        <f aca="false">'Ensemble Parameters'!$B$11+'Ensemble Parameters'!$B$12*BS45</f>
        <v>89.3622940810299</v>
      </c>
      <c r="BU45" s="17" t="n">
        <f aca="false">'Ensemble Parameters'!$B$13*BS45</f>
        <v>-14.8927882865582</v>
      </c>
      <c r="BV45" s="18" t="n">
        <f aca="false">RANK(BT45,$BT$5:$BT$125,0)</f>
        <v>113</v>
      </c>
      <c r="BW45" s="15" t="n">
        <f aca="false">STDEV(BM45,BN45,BQ45,BR45)</f>
        <v>0.187909027595856</v>
      </c>
      <c r="BX45" s="19" t="str">
        <f aca="false">IF(BW45&lt;'Ensemble Parameters'!$B$14,"High",IF(BW45&lt;'Ensemble Parameters'!$B$15,"Moderate","Low"))</f>
        <v>High</v>
      </c>
      <c r="BY45" s="19" t="str">
        <f aca="false">IF(BX45="Low","REVIEW — MODEL DISAGREEMENT","")</f>
        <v/>
      </c>
      <c r="BZ45" s="20" t="n">
        <v>4</v>
      </c>
    </row>
    <row r="46" customFormat="false" ht="15" hidden="false" customHeight="true" outlineLevel="0" collapsed="false">
      <c r="A46" s="7" t="s">
        <v>156</v>
      </c>
      <c r="B46" s="7" t="s">
        <v>173</v>
      </c>
      <c r="C46" s="7" t="s">
        <v>174</v>
      </c>
      <c r="D46" s="7" t="n">
        <v>110</v>
      </c>
      <c r="E46" s="7" t="s">
        <v>174</v>
      </c>
      <c r="F46" s="8" t="n">
        <v>25.634557665</v>
      </c>
      <c r="G46" s="9" t="n">
        <v>43</v>
      </c>
      <c r="H46" s="8" t="n">
        <v>4.00692724675225</v>
      </c>
      <c r="I46" s="8" t="n">
        <v>13.6137759247433</v>
      </c>
      <c r="J46" s="7" t="s">
        <v>83</v>
      </c>
      <c r="K46" s="7" t="s">
        <v>84</v>
      </c>
      <c r="L46" s="8" t="n">
        <v>-3.3554175804306</v>
      </c>
      <c r="M46" s="8" t="n">
        <v>96.6445824195694</v>
      </c>
      <c r="N46" s="9" t="n">
        <v>67</v>
      </c>
      <c r="O46" s="8" t="n">
        <v>0.450361904761905</v>
      </c>
      <c r="P46" s="8" t="n">
        <v>-0.794209523809523</v>
      </c>
      <c r="Q46" s="7" t="s">
        <v>85</v>
      </c>
      <c r="R46" s="1" t="s">
        <v>86</v>
      </c>
      <c r="S46" s="10" t="n">
        <v>0.431662</v>
      </c>
      <c r="T46" s="11" t="n">
        <v>60</v>
      </c>
      <c r="U46" s="10" t="n">
        <v>0.451843</v>
      </c>
      <c r="V46" s="11" t="n">
        <v>66</v>
      </c>
      <c r="W46" s="10" t="n">
        <v>0.441115</v>
      </c>
      <c r="X46" s="11" t="n">
        <v>63</v>
      </c>
      <c r="Y46" s="10" t="n">
        <v>0.460455913065</v>
      </c>
      <c r="Z46" s="11" t="n">
        <v>66</v>
      </c>
      <c r="AA46" s="10" t="n">
        <v>0.4071</v>
      </c>
      <c r="AB46" s="10" t="n">
        <v>0.3975</v>
      </c>
      <c r="AC46" s="10" t="n">
        <v>0.4344</v>
      </c>
      <c r="AD46" s="10" t="n">
        <v>0.3553</v>
      </c>
      <c r="AE46" s="10" t="n">
        <v>0.75</v>
      </c>
      <c r="AF46" s="10" t="n">
        <v>0.6587</v>
      </c>
      <c r="AG46" s="12" t="n">
        <v>9.41</v>
      </c>
      <c r="AH46" s="11" t="n">
        <v>6</v>
      </c>
      <c r="AI46" s="1" t="s">
        <v>87</v>
      </c>
      <c r="AJ46" s="12" t="n">
        <v>7.36</v>
      </c>
      <c r="AK46" s="12" t="n">
        <v>7.12</v>
      </c>
      <c r="AL46" s="12" t="n">
        <v>6.91</v>
      </c>
      <c r="AM46" s="13" t="n">
        <v>-6.27854738922134</v>
      </c>
      <c r="AN46" s="11" t="n">
        <v>55</v>
      </c>
      <c r="AO46" s="11" t="n">
        <v>14</v>
      </c>
      <c r="AP46" s="14" t="s">
        <v>88</v>
      </c>
      <c r="AQ46" s="13" t="n">
        <v>-4.39498317245494</v>
      </c>
      <c r="AR46" s="11" t="n">
        <v>55</v>
      </c>
      <c r="AS46" s="13" t="n">
        <v>-1.42209721787896</v>
      </c>
      <c r="AT46" s="13" t="n">
        <v>-5.81708039033389</v>
      </c>
      <c r="AU46" s="11" t="n">
        <v>64</v>
      </c>
      <c r="AV46" s="10"/>
      <c r="AW46" s="14" t="s">
        <v>89</v>
      </c>
      <c r="AX46" s="14" t="s">
        <v>90</v>
      </c>
      <c r="AY46" s="10" t="n">
        <v>-2.14356303497606</v>
      </c>
      <c r="AZ46" s="10" t="n">
        <v>97.856436965024</v>
      </c>
      <c r="BA46" s="11" t="n">
        <v>54</v>
      </c>
      <c r="BB46" s="14" t="s">
        <v>91</v>
      </c>
      <c r="BC46" s="10"/>
      <c r="BD46" s="11"/>
      <c r="BE46" s="14" t="s">
        <v>92</v>
      </c>
      <c r="BF46" s="10" t="n">
        <v>0.00826839449261507</v>
      </c>
      <c r="BG46" s="11" t="n">
        <v>89</v>
      </c>
      <c r="BH46" s="11" t="n">
        <v>12</v>
      </c>
      <c r="BI46" s="11" t="n">
        <v>12</v>
      </c>
      <c r="BJ46" s="11" t="n">
        <v>0</v>
      </c>
      <c r="BK46" s="10"/>
      <c r="BL46" s="14" t="s">
        <v>93</v>
      </c>
      <c r="BM46" s="15" t="n">
        <f aca="false">(F46-'Ensemble Parameters'!$B$20)/'Ensemble Parameters'!$C$20</f>
        <v>0.111287664059262</v>
      </c>
      <c r="BN46" s="15" t="n">
        <f aca="false">(L46-'Ensemble Parameters'!$B$21)/'Ensemble Parameters'!$C$21</f>
        <v>-0.351718022780066</v>
      </c>
      <c r="BO46" s="15" t="n">
        <f aca="false">(S46-'Ensemble Parameters'!$B$22)/'Ensemble Parameters'!$C$22</f>
        <v>-0.322627618909236</v>
      </c>
      <c r="BP46" s="15" t="n">
        <f aca="false">(W46-'Ensemble Parameters'!$B$23)/'Ensemble Parameters'!$C$23</f>
        <v>-0.371853981126659</v>
      </c>
      <c r="BQ46" s="15" t="n">
        <f aca="false">AVERAGE(BO46:BP46)</f>
        <v>-0.347240800017948</v>
      </c>
      <c r="BR46" s="15" t="n">
        <f aca="false">(AQ46-'Ensemble Parameters'!$B$24)/'Ensemble Parameters'!$C$24</f>
        <v>-0.285943403819423</v>
      </c>
      <c r="BS46" s="15" t="n">
        <f aca="false">BM46*'Ensemble Parameters'!$B$5+BN46*'Ensemble Parameters'!$B$6+BQ46*'Ensemble Parameters'!$B$8+BR46*'Ensemble Parameters'!$B$7</f>
        <v>-0.218403640639544</v>
      </c>
      <c r="BT46" s="16" t="n">
        <f aca="false">'Ensemble Parameters'!$B$11+'Ensemble Parameters'!$B$12*BS46</f>
        <v>97.8159635936046</v>
      </c>
      <c r="BU46" s="17" t="n">
        <f aca="false">'Ensemble Parameters'!$B$13*BS46</f>
        <v>-3.05765096895361</v>
      </c>
      <c r="BV46" s="18" t="n">
        <f aca="false">RANK(BT46,$BT$5:$BT$125,0)</f>
        <v>54</v>
      </c>
      <c r="BW46" s="15" t="n">
        <f aca="false">STDEV(BM46,BN46,BQ46,BR46)</f>
        <v>0.221833055942677</v>
      </c>
      <c r="BX46" s="19" t="str">
        <f aca="false">IF(BW46&lt;'Ensemble Parameters'!$B$14,"High",IF(BW46&lt;'Ensemble Parameters'!$B$15,"Moderate","Low"))</f>
        <v>High</v>
      </c>
      <c r="BY46" s="19" t="str">
        <f aca="false">IF(BX46="Low","REVIEW — MODEL DISAGREEMENT","")</f>
        <v/>
      </c>
      <c r="BZ46" s="20" t="n">
        <v>4</v>
      </c>
    </row>
    <row r="47" customFormat="false" ht="15" hidden="false" customHeight="true" outlineLevel="0" collapsed="false">
      <c r="A47" s="7" t="s">
        <v>156</v>
      </c>
      <c r="B47" s="7" t="s">
        <v>175</v>
      </c>
      <c r="C47" s="7" t="s">
        <v>176</v>
      </c>
      <c r="D47" s="7" t="n">
        <v>111</v>
      </c>
      <c r="E47" s="7" t="s">
        <v>176</v>
      </c>
      <c r="F47" s="8" t="n">
        <v>20.913842554</v>
      </c>
      <c r="G47" s="9" t="n">
        <v>108</v>
      </c>
      <c r="H47" s="8" t="n">
        <v>4.09618423263664</v>
      </c>
      <c r="I47" s="8" t="n">
        <v>8.62528985609008</v>
      </c>
      <c r="J47" s="7" t="s">
        <v>83</v>
      </c>
      <c r="K47" s="7" t="s">
        <v>84</v>
      </c>
      <c r="L47" s="8" t="n">
        <v>-9.76011527141872</v>
      </c>
      <c r="M47" s="8" t="n">
        <v>90.2398847285813</v>
      </c>
      <c r="N47" s="9" t="n">
        <v>109</v>
      </c>
      <c r="O47" s="8" t="n">
        <v>0.489209523809524</v>
      </c>
      <c r="P47" s="8" t="n">
        <v>-0.172647619047618</v>
      </c>
      <c r="Q47" s="7" t="s">
        <v>85</v>
      </c>
      <c r="R47" s="1" t="s">
        <v>86</v>
      </c>
      <c r="S47" s="10" t="n">
        <v>0.328215</v>
      </c>
      <c r="T47" s="11" t="n">
        <v>105</v>
      </c>
      <c r="U47" s="10" t="n">
        <v>0.343831</v>
      </c>
      <c r="V47" s="11" t="n">
        <v>104</v>
      </c>
      <c r="W47" s="10" t="n">
        <v>0.35921</v>
      </c>
      <c r="X47" s="11" t="n">
        <v>103</v>
      </c>
      <c r="Y47" s="10" t="n">
        <v>0.37207134941</v>
      </c>
      <c r="Z47" s="11" t="n">
        <v>104</v>
      </c>
      <c r="AA47" s="10" t="n">
        <v>0.1169</v>
      </c>
      <c r="AB47" s="10" t="n">
        <v>0.4901</v>
      </c>
      <c r="AC47" s="10" t="n">
        <v>0.4271</v>
      </c>
      <c r="AD47" s="10" t="n">
        <v>0.385</v>
      </c>
      <c r="AE47" s="10" t="n">
        <v>0.75</v>
      </c>
      <c r="AF47" s="10" t="n">
        <v>0.5039</v>
      </c>
      <c r="AG47" s="12" t="n">
        <v>8.27</v>
      </c>
      <c r="AH47" s="11" t="n">
        <v>-1</v>
      </c>
      <c r="AI47" s="1" t="s">
        <v>87</v>
      </c>
      <c r="AJ47" s="12" t="n">
        <v>5.21</v>
      </c>
      <c r="AK47" s="12" t="n">
        <v>5.3</v>
      </c>
      <c r="AL47" s="12" t="n">
        <v>5.86</v>
      </c>
      <c r="AM47" s="13" t="n">
        <v>-19.6129827329507</v>
      </c>
      <c r="AN47" s="11" t="n">
        <v>102</v>
      </c>
      <c r="AO47" s="11" t="n">
        <v>12</v>
      </c>
      <c r="AP47" s="14" t="s">
        <v>88</v>
      </c>
      <c r="AQ47" s="13" t="n">
        <v>-13.7290879130655</v>
      </c>
      <c r="AR47" s="11" t="n">
        <v>104</v>
      </c>
      <c r="AS47" s="13" t="n">
        <v>0.103510388677859</v>
      </c>
      <c r="AT47" s="13" t="n">
        <v>-13.6255775243876</v>
      </c>
      <c r="AU47" s="11" t="n">
        <v>105</v>
      </c>
      <c r="AV47" s="10"/>
      <c r="AW47" s="14" t="s">
        <v>89</v>
      </c>
      <c r="AX47" s="14" t="s">
        <v>90</v>
      </c>
      <c r="AY47" s="10" t="n">
        <v>-9.78666072596418</v>
      </c>
      <c r="AZ47" s="10" t="n">
        <v>90.2133392740358</v>
      </c>
      <c r="BA47" s="11" t="n">
        <v>105</v>
      </c>
      <c r="BB47" s="14" t="s">
        <v>91</v>
      </c>
      <c r="BC47" s="10"/>
      <c r="BD47" s="11"/>
      <c r="BE47" s="14" t="s">
        <v>92</v>
      </c>
      <c r="BF47" s="10" t="n">
        <v>0.00825492657325249</v>
      </c>
      <c r="BG47" s="11" t="n">
        <v>102</v>
      </c>
      <c r="BH47" s="11" t="n">
        <v>12</v>
      </c>
      <c r="BI47" s="11" t="n">
        <v>12</v>
      </c>
      <c r="BJ47" s="11" t="n">
        <v>0</v>
      </c>
      <c r="BK47" s="10"/>
      <c r="BL47" s="14" t="s">
        <v>93</v>
      </c>
      <c r="BM47" s="15" t="n">
        <f aca="false">(F47-'Ensemble Parameters'!$B$20)/'Ensemble Parameters'!$C$20</f>
        <v>-0.971621911562601</v>
      </c>
      <c r="BN47" s="15" t="n">
        <f aca="false">(L47-'Ensemble Parameters'!$B$21)/'Ensemble Parameters'!$C$21</f>
        <v>-1.02306445116986</v>
      </c>
      <c r="BO47" s="15" t="n">
        <f aca="false">(S47-'Ensemble Parameters'!$B$22)/'Ensemble Parameters'!$C$22</f>
        <v>-1.04402950372878</v>
      </c>
      <c r="BP47" s="15" t="n">
        <f aca="false">(W47-'Ensemble Parameters'!$B$23)/'Ensemble Parameters'!$C$23</f>
        <v>-1.01361912259777</v>
      </c>
      <c r="BQ47" s="15" t="n">
        <f aca="false">AVERAGE(BO47:BP47)</f>
        <v>-1.02882431316328</v>
      </c>
      <c r="BR47" s="15" t="n">
        <f aca="false">(AQ47-'Ensemble Parameters'!$B$24)/'Ensemble Parameters'!$C$24</f>
        <v>-0.905294122342057</v>
      </c>
      <c r="BS47" s="15" t="n">
        <f aca="false">BM47*'Ensemble Parameters'!$B$5+BN47*'Ensemble Parameters'!$B$6+BQ47*'Ensemble Parameters'!$B$8+BR47*'Ensemble Parameters'!$B$7</f>
        <v>-0.982201199559448</v>
      </c>
      <c r="BT47" s="16" t="n">
        <f aca="false">'Ensemble Parameters'!$B$11+'Ensemble Parameters'!$B$12*BS47</f>
        <v>90.1779880044055</v>
      </c>
      <c r="BU47" s="17" t="n">
        <f aca="false">'Ensemble Parameters'!$B$13*BS47</f>
        <v>-13.7508167938323</v>
      </c>
      <c r="BV47" s="18" t="n">
        <f aca="false">RANK(BT47,$BT$5:$BT$125,0)</f>
        <v>112</v>
      </c>
      <c r="BW47" s="15" t="n">
        <f aca="false">STDEV(BM47,BN47,BQ47,BR47)</f>
        <v>0.0573589281482057</v>
      </c>
      <c r="BX47" s="19" t="str">
        <f aca="false">IF(BW47&lt;'Ensemble Parameters'!$B$14,"High",IF(BW47&lt;'Ensemble Parameters'!$B$15,"Moderate","Low"))</f>
        <v>High</v>
      </c>
      <c r="BY47" s="19" t="str">
        <f aca="false">IF(BX47="Low","REVIEW — MODEL DISAGREEMENT","")</f>
        <v/>
      </c>
      <c r="BZ47" s="20" t="n">
        <v>4</v>
      </c>
    </row>
    <row r="48" customFormat="false" ht="15" hidden="false" customHeight="true" outlineLevel="0" collapsed="false">
      <c r="A48" s="7" t="s">
        <v>177</v>
      </c>
      <c r="B48" s="7" t="s">
        <v>178</v>
      </c>
      <c r="C48" s="7" t="s">
        <v>179</v>
      </c>
      <c r="D48" s="7" t="n">
        <v>35</v>
      </c>
      <c r="E48" s="7" t="s">
        <v>179</v>
      </c>
      <c r="F48" s="8" t="n">
        <v>27.629158525</v>
      </c>
      <c r="G48" s="9" t="n">
        <v>35</v>
      </c>
      <c r="H48" s="8" t="n">
        <v>4.21383060755779</v>
      </c>
      <c r="I48" s="8" t="n">
        <v>14.9876667023266</v>
      </c>
      <c r="J48" s="7" t="s">
        <v>83</v>
      </c>
      <c r="K48" s="7" t="s">
        <v>84</v>
      </c>
      <c r="L48" s="8" t="n">
        <v>8.21804146678436</v>
      </c>
      <c r="M48" s="8" t="n">
        <v>108.218041466784</v>
      </c>
      <c r="N48" s="9" t="n">
        <v>25</v>
      </c>
      <c r="O48" s="8" t="n">
        <v>0.636409523809524</v>
      </c>
      <c r="P48" s="8" t="n">
        <v>2.18255238095238</v>
      </c>
      <c r="Q48" s="7" t="s">
        <v>85</v>
      </c>
      <c r="R48" s="1" t="s">
        <v>86</v>
      </c>
      <c r="S48" s="10" t="n">
        <v>0.60363</v>
      </c>
      <c r="T48" s="11" t="n">
        <v>25</v>
      </c>
      <c r="U48" s="10" t="n">
        <v>0.604285</v>
      </c>
      <c r="V48" s="11" t="n">
        <v>25</v>
      </c>
      <c r="W48" s="10" t="n">
        <v>0.603975</v>
      </c>
      <c r="X48" s="11" t="n">
        <v>25</v>
      </c>
      <c r="Y48" s="10" t="n">
        <v>0.604599445225</v>
      </c>
      <c r="Z48" s="11" t="n">
        <v>25</v>
      </c>
      <c r="AA48" s="10" t="n">
        <v>0.5606</v>
      </c>
      <c r="AB48" s="10" t="n">
        <v>0.6632</v>
      </c>
      <c r="AC48" s="10" t="n">
        <v>0.4865</v>
      </c>
      <c r="AD48" s="10" t="n">
        <v>0.535</v>
      </c>
      <c r="AE48" s="10" t="n">
        <v>1</v>
      </c>
      <c r="AF48" s="10" t="n">
        <v>0.611</v>
      </c>
      <c r="AG48" s="12" t="n">
        <v>19.64</v>
      </c>
      <c r="AH48" s="11" t="n">
        <v>0</v>
      </c>
      <c r="AI48" s="1" t="s">
        <v>87</v>
      </c>
      <c r="AJ48" s="12" t="n">
        <v>8.15</v>
      </c>
      <c r="AK48" s="12" t="n">
        <v>8.07</v>
      </c>
      <c r="AL48" s="12" t="n">
        <v>8.72</v>
      </c>
      <c r="AM48" s="13" t="n">
        <v>14.8073098064332</v>
      </c>
      <c r="AN48" s="11" t="n">
        <v>26</v>
      </c>
      <c r="AO48" s="11" t="n">
        <v>13</v>
      </c>
      <c r="AP48" s="14" t="s">
        <v>88</v>
      </c>
      <c r="AQ48" s="13" t="n">
        <v>10.3651168645032</v>
      </c>
      <c r="AR48" s="11" t="n">
        <v>26</v>
      </c>
      <c r="AS48" s="13" t="n">
        <v>0.592506246125155</v>
      </c>
      <c r="AT48" s="13" t="n">
        <v>10.9576231106284</v>
      </c>
      <c r="AU48" s="11" t="n">
        <v>26</v>
      </c>
      <c r="AV48" s="10"/>
      <c r="AW48" s="14" t="s">
        <v>89</v>
      </c>
      <c r="AX48" s="14" t="s">
        <v>90</v>
      </c>
      <c r="AY48" s="10" t="n">
        <v>9.0482960122389</v>
      </c>
      <c r="AZ48" s="10" t="n">
        <v>109.048296012239</v>
      </c>
      <c r="BA48" s="11" t="n">
        <v>24</v>
      </c>
      <c r="BB48" s="14" t="s">
        <v>91</v>
      </c>
      <c r="BC48" s="10"/>
      <c r="BD48" s="11"/>
      <c r="BE48" s="14" t="s">
        <v>92</v>
      </c>
      <c r="BF48" s="10" t="n">
        <v>0.00831918993351685</v>
      </c>
      <c r="BG48" s="11" t="n">
        <v>29</v>
      </c>
      <c r="BH48" s="11" t="n">
        <v>12</v>
      </c>
      <c r="BI48" s="11" t="n">
        <v>12</v>
      </c>
      <c r="BJ48" s="11" t="n">
        <v>0</v>
      </c>
      <c r="BK48" s="10"/>
      <c r="BL48" s="14" t="s">
        <v>93</v>
      </c>
      <c r="BM48" s="15" t="n">
        <f aca="false">(F48-'Ensemble Parameters'!$B$20)/'Ensemble Parameters'!$C$20</f>
        <v>0.568839606942775</v>
      </c>
      <c r="BN48" s="15" t="n">
        <f aca="false">(L48-'Ensemble Parameters'!$B$21)/'Ensemble Parameters'!$C$21</f>
        <v>0.861422826380692</v>
      </c>
      <c r="BO48" s="15" t="n">
        <f aca="false">(S48-'Ensemble Parameters'!$B$22)/'Ensemble Parameters'!$C$22</f>
        <v>0.876614885258573</v>
      </c>
      <c r="BP48" s="15" t="n">
        <f aca="false">(W48-'Ensemble Parameters'!$B$23)/'Ensemble Parameters'!$C$23</f>
        <v>0.904232594051729</v>
      </c>
      <c r="BQ48" s="15" t="n">
        <f aca="false">AVERAGE(BO48:BP48)</f>
        <v>0.890423739655151</v>
      </c>
      <c r="BR48" s="15" t="n">
        <f aca="false">(AQ48-'Ensemble Parameters'!$B$24)/'Ensemble Parameters'!$C$24</f>
        <v>0.693441209638216</v>
      </c>
      <c r="BS48" s="15" t="n">
        <f aca="false">BM48*'Ensemble Parameters'!$B$5+BN48*'Ensemble Parameters'!$B$6+BQ48*'Ensemble Parameters'!$B$8+BR48*'Ensemble Parameters'!$B$7</f>
        <v>0.753531845654208</v>
      </c>
      <c r="BT48" s="16" t="n">
        <f aca="false">'Ensemble Parameters'!$B$11+'Ensemble Parameters'!$B$12*BS48</f>
        <v>107.535318456542</v>
      </c>
      <c r="BU48" s="17" t="n">
        <f aca="false">'Ensemble Parameters'!$B$13*BS48</f>
        <v>10.5494458391589</v>
      </c>
      <c r="BV48" s="18" t="n">
        <f aca="false">RANK(BT48,$BT$5:$BT$125,0)</f>
        <v>29</v>
      </c>
      <c r="BW48" s="15" t="n">
        <f aca="false">STDEV(BM48,BN48,BQ48,BR48)</f>
        <v>0.150667362029002</v>
      </c>
      <c r="BX48" s="19" t="str">
        <f aca="false">IF(BW48&lt;'Ensemble Parameters'!$B$14,"High",IF(BW48&lt;'Ensemble Parameters'!$B$15,"Moderate","Low"))</f>
        <v>High</v>
      </c>
      <c r="BY48" s="19" t="str">
        <f aca="false">IF(BX48="Low","REVIEW — MODEL DISAGREEMENT","")</f>
        <v/>
      </c>
      <c r="BZ48" s="20" t="n">
        <v>4</v>
      </c>
    </row>
    <row r="49" customFormat="false" ht="15" hidden="false" customHeight="true" outlineLevel="0" collapsed="false">
      <c r="A49" s="7" t="s">
        <v>177</v>
      </c>
      <c r="B49" s="7" t="s">
        <v>180</v>
      </c>
      <c r="C49" s="7" t="s">
        <v>181</v>
      </c>
      <c r="D49" s="7" t="n">
        <v>36</v>
      </c>
      <c r="E49" s="7" t="s">
        <v>181</v>
      </c>
      <c r="F49" s="8" t="n">
        <v>24.655516091</v>
      </c>
      <c r="G49" s="9" t="n">
        <v>53</v>
      </c>
      <c r="H49" s="8" t="n">
        <v>4.27158384866166</v>
      </c>
      <c r="I49" s="8" t="n">
        <v>11.840764545015</v>
      </c>
      <c r="J49" s="7" t="s">
        <v>83</v>
      </c>
      <c r="K49" s="7" t="s">
        <v>84</v>
      </c>
      <c r="L49" s="8" t="n">
        <v>-1.96432839428505</v>
      </c>
      <c r="M49" s="8" t="n">
        <v>98.035671605715</v>
      </c>
      <c r="N49" s="9" t="n">
        <v>52</v>
      </c>
      <c r="O49" s="8" t="n">
        <v>0.603361904761905</v>
      </c>
      <c r="P49" s="8" t="n">
        <v>1.65379047619048</v>
      </c>
      <c r="Q49" s="7" t="s">
        <v>85</v>
      </c>
      <c r="R49" s="1" t="s">
        <v>86</v>
      </c>
      <c r="S49" s="10" t="n">
        <v>0.487061</v>
      </c>
      <c r="T49" s="11" t="n">
        <v>44</v>
      </c>
      <c r="U49" s="10" t="n">
        <v>0.487429</v>
      </c>
      <c r="V49" s="11" t="n">
        <v>48</v>
      </c>
      <c r="W49" s="10" t="n">
        <v>0.513995</v>
      </c>
      <c r="X49" s="11" t="n">
        <v>42</v>
      </c>
      <c r="Y49" s="10" t="n">
        <v>0.511968775245</v>
      </c>
      <c r="Z49" s="11" t="n">
        <v>48</v>
      </c>
      <c r="AA49" s="10" t="n">
        <v>0.3344</v>
      </c>
      <c r="AB49" s="10" t="n">
        <v>0.4464</v>
      </c>
      <c r="AC49" s="10" t="n">
        <v>0.5519</v>
      </c>
      <c r="AD49" s="10" t="n">
        <v>0.697</v>
      </c>
      <c r="AE49" s="10" t="n">
        <v>1</v>
      </c>
      <c r="AF49" s="10" t="n">
        <v>0.4912</v>
      </c>
      <c r="AG49" s="12" t="n">
        <v>37.77</v>
      </c>
      <c r="AH49" s="11" t="n">
        <v>4</v>
      </c>
      <c r="AI49" s="1" t="s">
        <v>87</v>
      </c>
      <c r="AJ49" s="12" t="n">
        <v>5.2</v>
      </c>
      <c r="AK49" s="12" t="n">
        <v>5.46</v>
      </c>
      <c r="AL49" s="12" t="n">
        <v>5.97</v>
      </c>
      <c r="AM49" s="13" t="n">
        <v>-9.65073778404133</v>
      </c>
      <c r="AN49" s="11" t="n">
        <v>67</v>
      </c>
      <c r="AO49" s="11" t="n">
        <v>12</v>
      </c>
      <c r="AP49" s="14" t="s">
        <v>88</v>
      </c>
      <c r="AQ49" s="13" t="n">
        <v>-6.75551644882893</v>
      </c>
      <c r="AR49" s="11" t="n">
        <v>69</v>
      </c>
      <c r="AS49" s="13" t="n">
        <v>1.16469082033007</v>
      </c>
      <c r="AT49" s="13" t="n">
        <v>-5.59082562849886</v>
      </c>
      <c r="AU49" s="11" t="n">
        <v>60</v>
      </c>
      <c r="AV49" s="10"/>
      <c r="AW49" s="14" t="s">
        <v>89</v>
      </c>
      <c r="AX49" s="14" t="s">
        <v>90</v>
      </c>
      <c r="AY49" s="10" t="n">
        <v>-2.0924738488305</v>
      </c>
      <c r="AZ49" s="10" t="n">
        <v>97.9075261511695</v>
      </c>
      <c r="BA49" s="11" t="n">
        <v>53</v>
      </c>
      <c r="BB49" s="14" t="s">
        <v>91</v>
      </c>
      <c r="BC49" s="10"/>
      <c r="BD49" s="11"/>
      <c r="BE49" s="14" t="s">
        <v>92</v>
      </c>
      <c r="BF49" s="10" t="n">
        <v>0.00829782487315169</v>
      </c>
      <c r="BG49" s="11" t="n">
        <v>48</v>
      </c>
      <c r="BH49" s="11" t="n">
        <v>12</v>
      </c>
      <c r="BI49" s="11" t="n">
        <v>12</v>
      </c>
      <c r="BJ49" s="11" t="n">
        <v>0</v>
      </c>
      <c r="BK49" s="10"/>
      <c r="BL49" s="14" t="s">
        <v>93</v>
      </c>
      <c r="BM49" s="15" t="n">
        <f aca="false">(F49-'Ensemble Parameters'!$B$20)/'Ensemble Parameters'!$C$20</f>
        <v>-0.113299812729167</v>
      </c>
      <c r="BN49" s="15" t="n">
        <f aca="false">(L49-'Ensemble Parameters'!$B$21)/'Ensemble Parameters'!$C$21</f>
        <v>-0.205902747532251</v>
      </c>
      <c r="BO49" s="15" t="n">
        <f aca="false">(S49-'Ensemble Parameters'!$B$22)/'Ensemble Parameters'!$C$22</f>
        <v>0.0637049283576534</v>
      </c>
      <c r="BP49" s="15" t="n">
        <f aca="false">(W49-'Ensemble Parameters'!$B$23)/'Ensemble Parameters'!$C$23</f>
        <v>0.199195936587948</v>
      </c>
      <c r="BQ49" s="15" t="n">
        <f aca="false">AVERAGE(BO49:BP49)</f>
        <v>0.131450432472801</v>
      </c>
      <c r="BR49" s="15" t="n">
        <f aca="false">(AQ49-'Ensemble Parameters'!$B$24)/'Ensemble Parameters'!$C$24</f>
        <v>-0.442573099055003</v>
      </c>
      <c r="BS49" s="15" t="n">
        <f aca="false">BM49*'Ensemble Parameters'!$B$5+BN49*'Ensemble Parameters'!$B$6+BQ49*'Ensemble Parameters'!$B$8+BR49*'Ensemble Parameters'!$B$7</f>
        <v>-0.157581306710905</v>
      </c>
      <c r="BT49" s="16" t="n">
        <f aca="false">'Ensemble Parameters'!$B$11+'Ensemble Parameters'!$B$12*BS49</f>
        <v>98.424186932891</v>
      </c>
      <c r="BU49" s="17" t="n">
        <f aca="false">'Ensemble Parameters'!$B$13*BS49</f>
        <v>-2.20613829395267</v>
      </c>
      <c r="BV49" s="18" t="n">
        <f aca="false">RANK(BT49,$BT$5:$BT$125,0)</f>
        <v>49</v>
      </c>
      <c r="BW49" s="15" t="n">
        <f aca="false">STDEV(BM49,BN49,BQ49,BR49)</f>
        <v>0.237385397129762</v>
      </c>
      <c r="BX49" s="19" t="str">
        <f aca="false">IF(BW49&lt;'Ensemble Parameters'!$B$14,"High",IF(BW49&lt;'Ensemble Parameters'!$B$15,"Moderate","Low"))</f>
        <v>High</v>
      </c>
      <c r="BY49" s="19" t="str">
        <f aca="false">IF(BX49="Low","REVIEW — MODEL DISAGREEMENT","")</f>
        <v/>
      </c>
      <c r="BZ49" s="20" t="n">
        <v>4</v>
      </c>
    </row>
    <row r="50" customFormat="false" ht="15" hidden="false" customHeight="true" outlineLevel="0" collapsed="false">
      <c r="A50" s="7" t="s">
        <v>177</v>
      </c>
      <c r="B50" s="7" t="s">
        <v>182</v>
      </c>
      <c r="C50" s="7" t="s">
        <v>182</v>
      </c>
      <c r="D50" s="7" t="n">
        <v>37</v>
      </c>
      <c r="E50" s="7" t="s">
        <v>182</v>
      </c>
      <c r="F50" s="8" t="n">
        <v>32.403039455</v>
      </c>
      <c r="G50" s="9" t="n">
        <v>11</v>
      </c>
      <c r="H50" s="8" t="n">
        <v>4.26196079617333</v>
      </c>
      <c r="I50" s="8" t="n">
        <v>19.61715706648</v>
      </c>
      <c r="J50" s="7" t="s">
        <v>83</v>
      </c>
      <c r="K50" s="7" t="s">
        <v>84</v>
      </c>
      <c r="L50" s="8" t="n">
        <v>14.7231301389713</v>
      </c>
      <c r="M50" s="8" t="n">
        <v>114.723130138971</v>
      </c>
      <c r="N50" s="9" t="n">
        <v>17</v>
      </c>
      <c r="O50" s="8" t="n">
        <v>0.636133333333333</v>
      </c>
      <c r="P50" s="8" t="n">
        <v>2.17813333333334</v>
      </c>
      <c r="Q50" s="7" t="s">
        <v>85</v>
      </c>
      <c r="R50" s="1" t="s">
        <v>86</v>
      </c>
      <c r="S50" s="10" t="n">
        <v>0.705702</v>
      </c>
      <c r="T50" s="11" t="n">
        <v>14</v>
      </c>
      <c r="U50" s="10" t="n">
        <v>0.706947</v>
      </c>
      <c r="V50" s="11" t="n">
        <v>14</v>
      </c>
      <c r="W50" s="10" t="n">
        <v>0.68517</v>
      </c>
      <c r="X50" s="11" t="n">
        <v>14</v>
      </c>
      <c r="Y50" s="10" t="n">
        <v>0.68823933717</v>
      </c>
      <c r="Z50" s="11" t="n">
        <v>14</v>
      </c>
      <c r="AA50" s="10" t="n">
        <v>0.797</v>
      </c>
      <c r="AB50" s="10" t="n">
        <v>0.7086</v>
      </c>
      <c r="AC50" s="10" t="n">
        <v>0.51</v>
      </c>
      <c r="AD50" s="10" t="n">
        <v>0.52</v>
      </c>
      <c r="AE50" s="10" t="n">
        <v>0.85</v>
      </c>
      <c r="AF50" s="10" t="n">
        <v>0.7197</v>
      </c>
      <c r="AG50" s="12" t="n">
        <v>25.48</v>
      </c>
      <c r="AH50" s="11" t="n">
        <v>0</v>
      </c>
      <c r="AI50" s="1" t="s">
        <v>87</v>
      </c>
      <c r="AJ50" s="12" t="n">
        <v>9.85</v>
      </c>
      <c r="AK50" s="12" t="n">
        <v>9.5</v>
      </c>
      <c r="AL50" s="12" t="n">
        <v>9.12</v>
      </c>
      <c r="AM50" s="13" t="n">
        <v>31.5279918566139</v>
      </c>
      <c r="AN50" s="11" t="n">
        <v>17</v>
      </c>
      <c r="AO50" s="11" t="n">
        <v>14</v>
      </c>
      <c r="AP50" s="14" t="s">
        <v>88</v>
      </c>
      <c r="AQ50" s="13" t="n">
        <v>22.0695942996297</v>
      </c>
      <c r="AR50" s="11" t="n">
        <v>17</v>
      </c>
      <c r="AS50" s="13" t="n">
        <v>-0.308615416110534</v>
      </c>
      <c r="AT50" s="13" t="n">
        <v>21.7609788835192</v>
      </c>
      <c r="AU50" s="11" t="n">
        <v>19</v>
      </c>
      <c r="AV50" s="10"/>
      <c r="AW50" s="14" t="s">
        <v>89</v>
      </c>
      <c r="AX50" s="14" t="s">
        <v>90</v>
      </c>
      <c r="AY50" s="10" t="n">
        <v>16.4229846844259</v>
      </c>
      <c r="AZ50" s="10" t="n">
        <v>116.422984684426</v>
      </c>
      <c r="BA50" s="11" t="n">
        <v>15</v>
      </c>
      <c r="BB50" s="14" t="s">
        <v>91</v>
      </c>
      <c r="BC50" s="10"/>
      <c r="BD50" s="11"/>
      <c r="BE50" s="14" t="s">
        <v>92</v>
      </c>
      <c r="BF50" s="10" t="n">
        <v>0.00832312936940069</v>
      </c>
      <c r="BG50" s="11" t="n">
        <v>26</v>
      </c>
      <c r="BH50" s="11" t="n">
        <v>12</v>
      </c>
      <c r="BI50" s="11" t="n">
        <v>12</v>
      </c>
      <c r="BJ50" s="11" t="n">
        <v>0</v>
      </c>
      <c r="BK50" s="10"/>
      <c r="BL50" s="14" t="s">
        <v>93</v>
      </c>
      <c r="BM50" s="15" t="n">
        <f aca="false">(F50-'Ensemble Parameters'!$B$20)/'Ensemble Parameters'!$C$20</f>
        <v>1.66394516837126</v>
      </c>
      <c r="BN50" s="15" t="n">
        <f aca="false">(L50-'Ensemble Parameters'!$B$21)/'Ensemble Parameters'!$C$21</f>
        <v>1.54329233172464</v>
      </c>
      <c r="BO50" s="15" t="n">
        <f aca="false">(S50-'Ensemble Parameters'!$B$22)/'Ensemble Parameters'!$C$22</f>
        <v>1.58842801843112</v>
      </c>
      <c r="BP50" s="15" t="n">
        <f aca="false">(W50-'Ensemble Parameters'!$B$23)/'Ensemble Parameters'!$C$23</f>
        <v>1.5404345434046</v>
      </c>
      <c r="BQ50" s="15" t="n">
        <f aca="false">AVERAGE(BO50:BP50)</f>
        <v>1.56443128091786</v>
      </c>
      <c r="BR50" s="15" t="n">
        <f aca="false">(AQ50-'Ensemble Parameters'!$B$24)/'Ensemble Parameters'!$C$24</f>
        <v>1.47007450343854</v>
      </c>
      <c r="BS50" s="15" t="n">
        <f aca="false">BM50*'Ensemble Parameters'!$B$5+BN50*'Ensemble Parameters'!$B$6+BQ50*'Ensemble Parameters'!$B$8+BR50*'Ensemble Parameters'!$B$7</f>
        <v>1.56043582111307</v>
      </c>
      <c r="BT50" s="16" t="n">
        <f aca="false">'Ensemble Parameters'!$B$11+'Ensemble Parameters'!$B$12*BS50</f>
        <v>115.604358211131</v>
      </c>
      <c r="BU50" s="17" t="n">
        <f aca="false">'Ensemble Parameters'!$B$13*BS50</f>
        <v>21.846101495583</v>
      </c>
      <c r="BV50" s="18" t="n">
        <f aca="false">RANK(BT50,$BT$5:$BT$125,0)</f>
        <v>16</v>
      </c>
      <c r="BW50" s="15" t="n">
        <f aca="false">STDEV(BM50,BN50,BQ50,BR50)</f>
        <v>0.0799775294049485</v>
      </c>
      <c r="BX50" s="19" t="str">
        <f aca="false">IF(BW50&lt;'Ensemble Parameters'!$B$14,"High",IF(BW50&lt;'Ensemble Parameters'!$B$15,"Moderate","Low"))</f>
        <v>High</v>
      </c>
      <c r="BY50" s="19" t="str">
        <f aca="false">IF(BX50="Low","REVIEW — MODEL DISAGREEMENT","")</f>
        <v/>
      </c>
      <c r="BZ50" s="20" t="n">
        <v>4</v>
      </c>
    </row>
    <row r="51" customFormat="false" ht="15" hidden="false" customHeight="true" outlineLevel="0" collapsed="false">
      <c r="A51" s="7" t="s">
        <v>177</v>
      </c>
      <c r="B51" s="7" t="s">
        <v>183</v>
      </c>
      <c r="C51" s="7" t="s">
        <v>184</v>
      </c>
      <c r="D51" s="7" t="n">
        <v>38</v>
      </c>
      <c r="E51" s="7" t="s">
        <v>184</v>
      </c>
      <c r="F51" s="8" t="n">
        <v>23.515446762</v>
      </c>
      <c r="G51" s="9" t="n">
        <v>67</v>
      </c>
      <c r="H51" s="8" t="n">
        <v>4.15902783534154</v>
      </c>
      <c r="I51" s="8" t="n">
        <v>11.0383632559754</v>
      </c>
      <c r="J51" s="7" t="s">
        <v>83</v>
      </c>
      <c r="K51" s="7" t="s">
        <v>84</v>
      </c>
      <c r="L51" s="8" t="n">
        <v>-1.88244843164554</v>
      </c>
      <c r="M51" s="8" t="n">
        <v>98.1175515683545</v>
      </c>
      <c r="N51" s="9" t="n">
        <v>51</v>
      </c>
      <c r="O51" s="8" t="n">
        <v>0.580057142857143</v>
      </c>
      <c r="P51" s="8" t="n">
        <v>1.28091428571429</v>
      </c>
      <c r="Q51" s="7" t="s">
        <v>85</v>
      </c>
      <c r="R51" s="1" t="s">
        <v>86</v>
      </c>
      <c r="S51" s="10" t="n">
        <v>0.458086</v>
      </c>
      <c r="T51" s="11" t="n">
        <v>57</v>
      </c>
      <c r="U51" s="10" t="n">
        <v>0.454718</v>
      </c>
      <c r="V51" s="11" t="n">
        <v>59</v>
      </c>
      <c r="W51" s="10" t="n">
        <v>0.4818</v>
      </c>
      <c r="X51" s="11" t="n">
        <v>55</v>
      </c>
      <c r="Y51" s="10" t="n">
        <v>0.4763244376</v>
      </c>
      <c r="Z51" s="11" t="n">
        <v>59</v>
      </c>
      <c r="AA51" s="10" t="n">
        <v>0.298</v>
      </c>
      <c r="AB51" s="10" t="n">
        <v>0.472</v>
      </c>
      <c r="AC51" s="10" t="n">
        <v>0.5172</v>
      </c>
      <c r="AD51" s="10" t="n">
        <v>0.688</v>
      </c>
      <c r="AE51" s="10" t="n">
        <v>0.85</v>
      </c>
      <c r="AF51" s="10" t="n">
        <v>0.4202</v>
      </c>
      <c r="AG51" s="12" t="n">
        <v>27.41</v>
      </c>
      <c r="AH51" s="11" t="n">
        <v>2</v>
      </c>
      <c r="AI51" s="1" t="s">
        <v>87</v>
      </c>
      <c r="AJ51" s="12" t="n">
        <v>4.46</v>
      </c>
      <c r="AK51" s="12" t="n">
        <v>4.69</v>
      </c>
      <c r="AL51" s="12" t="n">
        <v>5.1</v>
      </c>
      <c r="AM51" s="13" t="n">
        <v>-6.21703518623495</v>
      </c>
      <c r="AN51" s="11" t="n">
        <v>54</v>
      </c>
      <c r="AO51" s="11" t="n">
        <v>12</v>
      </c>
      <c r="AP51" s="14" t="s">
        <v>88</v>
      </c>
      <c r="AQ51" s="13" t="n">
        <v>-4.35192463036447</v>
      </c>
      <c r="AR51" s="11" t="n">
        <v>54</v>
      </c>
      <c r="AS51" s="13" t="n">
        <v>0.838607493396542</v>
      </c>
      <c r="AT51" s="13" t="n">
        <v>-3.51331713696792</v>
      </c>
      <c r="AU51" s="11" t="n">
        <v>51</v>
      </c>
      <c r="AV51" s="10"/>
      <c r="AW51" s="14" t="s">
        <v>89</v>
      </c>
      <c r="AX51" s="14" t="s">
        <v>90</v>
      </c>
      <c r="AY51" s="10" t="n">
        <v>-2.57859388619099</v>
      </c>
      <c r="AZ51" s="10" t="n">
        <v>97.421406113809</v>
      </c>
      <c r="BA51" s="11" t="n">
        <v>59</v>
      </c>
      <c r="BB51" s="14" t="s">
        <v>91</v>
      </c>
      <c r="BC51" s="10"/>
      <c r="BD51" s="11"/>
      <c r="BE51" s="14" t="s">
        <v>92</v>
      </c>
      <c r="BF51" s="10" t="n">
        <v>0.00829309274903204</v>
      </c>
      <c r="BG51" s="11" t="n">
        <v>56</v>
      </c>
      <c r="BH51" s="11" t="n">
        <v>12</v>
      </c>
      <c r="BI51" s="11" t="n">
        <v>12</v>
      </c>
      <c r="BJ51" s="11" t="n">
        <v>0</v>
      </c>
      <c r="BK51" s="10"/>
      <c r="BL51" s="14" t="s">
        <v>93</v>
      </c>
      <c r="BM51" s="15" t="n">
        <f aca="false">(F51-'Ensemble Parameters'!$B$20)/'Ensemble Parameters'!$C$20</f>
        <v>-0.374826290014378</v>
      </c>
      <c r="BN51" s="15" t="n">
        <f aca="false">(L51-'Ensemble Parameters'!$B$21)/'Ensemble Parameters'!$C$21</f>
        <v>-0.197320012932292</v>
      </c>
      <c r="BO51" s="15" t="n">
        <f aca="false">(S51-'Ensemble Parameters'!$B$22)/'Ensemble Parameters'!$C$22</f>
        <v>-0.138356219985424</v>
      </c>
      <c r="BP51" s="15" t="n">
        <f aca="false">(W51-'Ensemble Parameters'!$B$23)/'Ensemble Parameters'!$C$23</f>
        <v>-0.0530674017877625</v>
      </c>
      <c r="BQ51" s="15" t="n">
        <f aca="false">AVERAGE(BO51:BP51)</f>
        <v>-0.0957118108865931</v>
      </c>
      <c r="BR51" s="15" t="n">
        <f aca="false">(AQ51-'Ensemble Parameters'!$B$24)/'Ensemble Parameters'!$C$24</f>
        <v>-0.283086317925985</v>
      </c>
      <c r="BS51" s="15" t="n">
        <f aca="false">BM51*'Ensemble Parameters'!$B$5+BN51*'Ensemble Parameters'!$B$6+BQ51*'Ensemble Parameters'!$B$8+BR51*'Ensemble Parameters'!$B$7</f>
        <v>-0.237736107939812</v>
      </c>
      <c r="BT51" s="16" t="n">
        <f aca="false">'Ensemble Parameters'!$B$11+'Ensemble Parameters'!$B$12*BS51</f>
        <v>97.6226389206019</v>
      </c>
      <c r="BU51" s="17" t="n">
        <f aca="false">'Ensemble Parameters'!$B$13*BS51</f>
        <v>-3.32830551115737</v>
      </c>
      <c r="BV51" s="18" t="n">
        <f aca="false">RANK(BT51,$BT$5:$BT$125,0)</f>
        <v>55</v>
      </c>
      <c r="BW51" s="15" t="n">
        <f aca="false">STDEV(BM51,BN51,BQ51,BR51)</f>
        <v>0.119240263412637</v>
      </c>
      <c r="BX51" s="19" t="str">
        <f aca="false">IF(BW51&lt;'Ensemble Parameters'!$B$14,"High",IF(BW51&lt;'Ensemble Parameters'!$B$15,"Moderate","Low"))</f>
        <v>High</v>
      </c>
      <c r="BY51" s="19" t="str">
        <f aca="false">IF(BX51="Low","REVIEW — MODEL DISAGREEMENT","")</f>
        <v/>
      </c>
      <c r="BZ51" s="20" t="n">
        <v>4</v>
      </c>
    </row>
    <row r="52" customFormat="false" ht="15" hidden="false" customHeight="true" outlineLevel="0" collapsed="false">
      <c r="A52" s="7" t="s">
        <v>177</v>
      </c>
      <c r="B52" s="7" t="s">
        <v>185</v>
      </c>
      <c r="C52" s="7" t="s">
        <v>186</v>
      </c>
      <c r="D52" s="7" t="n">
        <v>39</v>
      </c>
      <c r="E52" s="7" t="s">
        <v>186</v>
      </c>
      <c r="F52" s="8" t="n">
        <v>25.190484707</v>
      </c>
      <c r="G52" s="9" t="n">
        <v>48</v>
      </c>
      <c r="H52" s="8" t="n">
        <v>4.17813057487451</v>
      </c>
      <c r="I52" s="8" t="n">
        <v>12.6560929823765</v>
      </c>
      <c r="J52" s="7" t="s">
        <v>83</v>
      </c>
      <c r="K52" s="7" t="s">
        <v>84</v>
      </c>
      <c r="L52" s="8" t="n">
        <v>-0.380464784225218</v>
      </c>
      <c r="M52" s="8" t="n">
        <v>99.6195352157748</v>
      </c>
      <c r="N52" s="9" t="n">
        <v>47</v>
      </c>
      <c r="O52" s="8" t="n">
        <v>0.521495238095238</v>
      </c>
      <c r="P52" s="8" t="n">
        <v>0.34392380952381</v>
      </c>
      <c r="Q52" s="7" t="s">
        <v>85</v>
      </c>
      <c r="R52" s="1" t="s">
        <v>86</v>
      </c>
      <c r="S52" s="10" t="n">
        <v>0.465591</v>
      </c>
      <c r="T52" s="11" t="n">
        <v>52</v>
      </c>
      <c r="U52" s="10" t="n">
        <v>0.462925</v>
      </c>
      <c r="V52" s="11" t="n">
        <v>50</v>
      </c>
      <c r="W52" s="10" t="n">
        <v>0.479025</v>
      </c>
      <c r="X52" s="11" t="n">
        <v>58</v>
      </c>
      <c r="Y52" s="10" t="n">
        <v>0.475164995175</v>
      </c>
      <c r="Z52" s="11" t="n">
        <v>50</v>
      </c>
      <c r="AA52" s="10" t="n">
        <v>0.3922</v>
      </c>
      <c r="AB52" s="10" t="n">
        <v>0.4749</v>
      </c>
      <c r="AC52" s="10" t="n">
        <v>0.5047</v>
      </c>
      <c r="AD52" s="10" t="n">
        <v>0.506</v>
      </c>
      <c r="AE52" s="10" t="n">
        <v>0.7</v>
      </c>
      <c r="AF52" s="10" t="n">
        <v>0.4356</v>
      </c>
      <c r="AG52" s="12" t="n">
        <v>24.1</v>
      </c>
      <c r="AH52" s="11" t="n">
        <v>-2</v>
      </c>
      <c r="AI52" s="1" t="s">
        <v>87</v>
      </c>
      <c r="AJ52" s="12" t="n">
        <v>5.6</v>
      </c>
      <c r="AK52" s="12" t="n">
        <v>5.65</v>
      </c>
      <c r="AL52" s="12" t="n">
        <v>5.56</v>
      </c>
      <c r="AM52" s="13" t="n">
        <v>-0.49540489848944</v>
      </c>
      <c r="AN52" s="11" t="n">
        <v>40</v>
      </c>
      <c r="AO52" s="11" t="n">
        <v>13</v>
      </c>
      <c r="AP52" s="14" t="s">
        <v>88</v>
      </c>
      <c r="AQ52" s="13" t="n">
        <v>-0.346783428942608</v>
      </c>
      <c r="AR52" s="11" t="n">
        <v>40</v>
      </c>
      <c r="AS52" s="13" t="n">
        <v>-0.349668678503094</v>
      </c>
      <c r="AT52" s="13" t="n">
        <v>-0.696452107445702</v>
      </c>
      <c r="AU52" s="11" t="n">
        <v>41</v>
      </c>
      <c r="AV52" s="10"/>
      <c r="AW52" s="14" t="s">
        <v>89</v>
      </c>
      <c r="AX52" s="14" t="s">
        <v>90</v>
      </c>
      <c r="AY52" s="10" t="n">
        <v>-0.953410238770672</v>
      </c>
      <c r="AZ52" s="10" t="n">
        <v>99.0465897612293</v>
      </c>
      <c r="BA52" s="11" t="n">
        <v>44</v>
      </c>
      <c r="BB52" s="14" t="s">
        <v>91</v>
      </c>
      <c r="BC52" s="10"/>
      <c r="BD52" s="11"/>
      <c r="BE52" s="14" t="s">
        <v>92</v>
      </c>
      <c r="BF52" s="10" t="n">
        <v>0.00829749745715471</v>
      </c>
      <c r="BG52" s="11" t="n">
        <v>50</v>
      </c>
      <c r="BH52" s="11" t="n">
        <v>12</v>
      </c>
      <c r="BI52" s="11" t="n">
        <v>12</v>
      </c>
      <c r="BJ52" s="11" t="n">
        <v>0</v>
      </c>
      <c r="BK52" s="10"/>
      <c r="BL52" s="14" t="s">
        <v>93</v>
      </c>
      <c r="BM52" s="15" t="n">
        <f aca="false">(F52-'Ensemble Parameters'!$B$20)/'Ensemble Parameters'!$C$20</f>
        <v>0.00941944130369421</v>
      </c>
      <c r="BN52" s="15" t="n">
        <f aca="false">(L52-'Ensemble Parameters'!$B$21)/'Ensemble Parameters'!$C$21</f>
        <v>-0.0398806760820409</v>
      </c>
      <c r="BO52" s="15" t="n">
        <f aca="false">(S52-'Ensemble Parameters'!$B$22)/'Ensemble Parameters'!$C$22</f>
        <v>-0.0860190700867253</v>
      </c>
      <c r="BP52" s="15" t="n">
        <f aca="false">(W52-'Ensemble Parameters'!$B$23)/'Ensemble Parameters'!$C$23</f>
        <v>-0.0748108639400409</v>
      </c>
      <c r="BQ52" s="15" t="n">
        <f aca="false">AVERAGE(BO52:BP52)</f>
        <v>-0.0804149670133831</v>
      </c>
      <c r="BR52" s="15" t="n">
        <f aca="false">(AQ52-'Ensemble Parameters'!$B$24)/'Ensemble Parameters'!$C$24</f>
        <v>-0.0173310955646191</v>
      </c>
      <c r="BS52" s="15" t="n">
        <f aca="false">BM52*'Ensemble Parameters'!$B$5+BN52*'Ensemble Parameters'!$B$6+BQ52*'Ensemble Parameters'!$B$8+BR52*'Ensemble Parameters'!$B$7</f>
        <v>-0.0320518243390872</v>
      </c>
      <c r="BT52" s="16" t="n">
        <f aca="false">'Ensemble Parameters'!$B$11+'Ensemble Parameters'!$B$12*BS52</f>
        <v>99.6794817566091</v>
      </c>
      <c r="BU52" s="17" t="n">
        <f aca="false">'Ensemble Parameters'!$B$13*BS52</f>
        <v>-0.448725540747221</v>
      </c>
      <c r="BV52" s="18" t="n">
        <f aca="false">RANK(BT52,$BT$5:$BT$125,0)</f>
        <v>45</v>
      </c>
      <c r="BW52" s="15" t="n">
        <f aca="false">STDEV(BM52,BN52,BQ52,BR52)</f>
        <v>0.0380212669375664</v>
      </c>
      <c r="BX52" s="19" t="str">
        <f aca="false">IF(BW52&lt;'Ensemble Parameters'!$B$14,"High",IF(BW52&lt;'Ensemble Parameters'!$B$15,"Moderate","Low"))</f>
        <v>High</v>
      </c>
      <c r="BY52" s="19" t="str">
        <f aca="false">IF(BX52="Low","REVIEW — MODEL DISAGREEMENT","")</f>
        <v/>
      </c>
      <c r="BZ52" s="20" t="n">
        <v>4</v>
      </c>
    </row>
    <row r="53" customFormat="false" ht="15" hidden="false" customHeight="true" outlineLevel="0" collapsed="false">
      <c r="A53" s="7" t="s">
        <v>177</v>
      </c>
      <c r="B53" s="7" t="s">
        <v>187</v>
      </c>
      <c r="C53" s="7" t="s">
        <v>188</v>
      </c>
      <c r="D53" s="7" t="n">
        <v>40</v>
      </c>
      <c r="E53" s="7" t="s">
        <v>188</v>
      </c>
      <c r="F53" s="8" t="n">
        <v>23.654375251</v>
      </c>
      <c r="G53" s="9" t="n">
        <v>66</v>
      </c>
      <c r="H53" s="8" t="n">
        <v>4.17708978339909</v>
      </c>
      <c r="I53" s="8" t="n">
        <v>11.1231059008027</v>
      </c>
      <c r="J53" s="7" t="s">
        <v>83</v>
      </c>
      <c r="K53" s="7" t="s">
        <v>84</v>
      </c>
      <c r="L53" s="8" t="n">
        <v>-4.17820680137328</v>
      </c>
      <c r="M53" s="8" t="n">
        <v>95.8217931986267</v>
      </c>
      <c r="N53" s="9" t="n">
        <v>77</v>
      </c>
      <c r="O53" s="8" t="n">
        <v>0.566</v>
      </c>
      <c r="P53" s="8" t="n">
        <v>1.056</v>
      </c>
      <c r="Q53" s="7" t="s">
        <v>85</v>
      </c>
      <c r="R53" s="1" t="s">
        <v>86</v>
      </c>
      <c r="S53" s="10" t="n">
        <v>0.434499</v>
      </c>
      <c r="T53" s="11" t="n">
        <v>67</v>
      </c>
      <c r="U53" s="10" t="n">
        <v>0.428668</v>
      </c>
      <c r="V53" s="11" t="n">
        <v>65</v>
      </c>
      <c r="W53" s="10" t="n">
        <v>0.461255</v>
      </c>
      <c r="X53" s="11" t="n">
        <v>66</v>
      </c>
      <c r="Y53" s="10" t="n">
        <v>0.453045656405</v>
      </c>
      <c r="Z53" s="11" t="n">
        <v>65</v>
      </c>
      <c r="AA53" s="10" t="n">
        <v>0.2619</v>
      </c>
      <c r="AB53" s="10" t="n">
        <v>0.4562</v>
      </c>
      <c r="AC53" s="10" t="n">
        <v>0.5494</v>
      </c>
      <c r="AD53" s="10" t="n">
        <v>0.71</v>
      </c>
      <c r="AE53" s="10" t="n">
        <v>0.7</v>
      </c>
      <c r="AF53" s="10" t="n">
        <v>0.3689</v>
      </c>
      <c r="AG53" s="12" t="n">
        <v>36.96</v>
      </c>
      <c r="AH53" s="11" t="n">
        <v>-2</v>
      </c>
      <c r="AI53" s="1" t="s">
        <v>87</v>
      </c>
      <c r="AJ53" s="12" t="n">
        <v>4.79</v>
      </c>
      <c r="AK53" s="12" t="n">
        <v>5.05</v>
      </c>
      <c r="AL53" s="12" t="n">
        <v>5.16</v>
      </c>
      <c r="AM53" s="13" t="n">
        <v>-11.2239080248509</v>
      </c>
      <c r="AN53" s="11" t="n">
        <v>78</v>
      </c>
      <c r="AO53" s="11" t="n">
        <v>12</v>
      </c>
      <c r="AP53" s="14" t="s">
        <v>88</v>
      </c>
      <c r="AQ53" s="13" t="n">
        <v>-7.85673561739562</v>
      </c>
      <c r="AR53" s="11" t="n">
        <v>80</v>
      </c>
      <c r="AS53" s="13" t="n">
        <v>0.783937216935242</v>
      </c>
      <c r="AT53" s="13" t="n">
        <v>-7.07279840046038</v>
      </c>
      <c r="AU53" s="11" t="n">
        <v>78</v>
      </c>
      <c r="AV53" s="10"/>
      <c r="AW53" s="14" t="s">
        <v>89</v>
      </c>
      <c r="AX53" s="14" t="s">
        <v>90</v>
      </c>
      <c r="AY53" s="10" t="n">
        <v>-5.28475225591873</v>
      </c>
      <c r="AZ53" s="10" t="n">
        <v>94.7152477440813</v>
      </c>
      <c r="BA53" s="11" t="n">
        <v>78</v>
      </c>
      <c r="BB53" s="14" t="s">
        <v>91</v>
      </c>
      <c r="BC53" s="10"/>
      <c r="BD53" s="11"/>
      <c r="BE53" s="14" t="s">
        <v>92</v>
      </c>
      <c r="BF53" s="10" t="n">
        <v>0.00832596779872625</v>
      </c>
      <c r="BG53" s="11" t="n">
        <v>24</v>
      </c>
      <c r="BH53" s="11" t="n">
        <v>12</v>
      </c>
      <c r="BI53" s="11" t="n">
        <v>12</v>
      </c>
      <c r="BJ53" s="11" t="n">
        <v>0</v>
      </c>
      <c r="BK53" s="10"/>
      <c r="BL53" s="14" t="s">
        <v>93</v>
      </c>
      <c r="BM53" s="15" t="n">
        <f aca="false">(F53-'Ensemble Parameters'!$B$20)/'Ensemble Parameters'!$C$20</f>
        <v>-0.342956755944378</v>
      </c>
      <c r="BN53" s="15" t="n">
        <f aca="false">(L53-'Ensemble Parameters'!$B$21)/'Ensemble Parameters'!$C$21</f>
        <v>-0.437963561827869</v>
      </c>
      <c r="BO53" s="15" t="n">
        <f aca="false">(S53-'Ensemble Parameters'!$B$22)/'Ensemble Parameters'!$C$22</f>
        <v>-0.302843409147396</v>
      </c>
      <c r="BP53" s="15" t="n">
        <f aca="false">(W53-'Ensemble Parameters'!$B$23)/'Ensemble Parameters'!$C$23</f>
        <v>-0.214047376533188</v>
      </c>
      <c r="BQ53" s="15" t="n">
        <f aca="false">AVERAGE(BO53:BP53)</f>
        <v>-0.258445392840292</v>
      </c>
      <c r="BR53" s="15" t="n">
        <f aca="false">(AQ53-'Ensemble Parameters'!$B$24)/'Ensemble Parameters'!$C$24</f>
        <v>-0.515642868706856</v>
      </c>
      <c r="BS53" s="15" t="n">
        <f aca="false">BM53*'Ensemble Parameters'!$B$5+BN53*'Ensemble Parameters'!$B$6+BQ53*'Ensemble Parameters'!$B$8+BR53*'Ensemble Parameters'!$B$7</f>
        <v>-0.388752144829848</v>
      </c>
      <c r="BT53" s="16" t="n">
        <f aca="false">'Ensemble Parameters'!$B$11+'Ensemble Parameters'!$B$12*BS53</f>
        <v>96.1124785517015</v>
      </c>
      <c r="BU53" s="17" t="n">
        <f aca="false">'Ensemble Parameters'!$B$13*BS53</f>
        <v>-5.44253002761788</v>
      </c>
      <c r="BV53" s="18" t="n">
        <f aca="false">RANK(BT53,$BT$5:$BT$125,0)</f>
        <v>68</v>
      </c>
      <c r="BW53" s="15" t="n">
        <f aca="false">STDEV(BM53,BN53,BQ53,BR53)</f>
        <v>0.111952499787817</v>
      </c>
      <c r="BX53" s="19" t="str">
        <f aca="false">IF(BW53&lt;'Ensemble Parameters'!$B$14,"High",IF(BW53&lt;'Ensemble Parameters'!$B$15,"Moderate","Low"))</f>
        <v>High</v>
      </c>
      <c r="BY53" s="19" t="str">
        <f aca="false">IF(BX53="Low","REVIEW — MODEL DISAGREEMENT","")</f>
        <v/>
      </c>
      <c r="BZ53" s="20" t="n">
        <v>4</v>
      </c>
    </row>
    <row r="54" customFormat="false" ht="15" hidden="false" customHeight="true" outlineLevel="0" collapsed="false">
      <c r="A54" s="7" t="s">
        <v>177</v>
      </c>
      <c r="B54" s="7" t="s">
        <v>189</v>
      </c>
      <c r="C54" s="7" t="s">
        <v>190</v>
      </c>
      <c r="D54" s="7" t="n">
        <v>41</v>
      </c>
      <c r="E54" s="7" t="s">
        <v>190</v>
      </c>
      <c r="F54" s="8" t="n">
        <v>29.855571784</v>
      </c>
      <c r="G54" s="9" t="n">
        <v>22</v>
      </c>
      <c r="H54" s="8" t="n">
        <v>4.36876266781999</v>
      </c>
      <c r="I54" s="8" t="n">
        <v>16.74928378054</v>
      </c>
      <c r="J54" s="7" t="s">
        <v>83</v>
      </c>
      <c r="K54" s="7" t="s">
        <v>84</v>
      </c>
      <c r="L54" s="8" t="n">
        <v>8.78163105097877</v>
      </c>
      <c r="M54" s="8" t="n">
        <v>108.781631050979</v>
      </c>
      <c r="N54" s="9" t="n">
        <v>23</v>
      </c>
      <c r="O54" s="8" t="n">
        <v>0.654952380952381</v>
      </c>
      <c r="P54" s="8" t="n">
        <v>2.4792380952381</v>
      </c>
      <c r="Q54" s="7" t="s">
        <v>85</v>
      </c>
      <c r="R54" s="1" t="s">
        <v>86</v>
      </c>
      <c r="S54" s="10" t="n">
        <v>0.629118</v>
      </c>
      <c r="T54" s="11" t="n">
        <v>24</v>
      </c>
      <c r="U54" s="10" t="n">
        <v>0.623098</v>
      </c>
      <c r="V54" s="11" t="n">
        <v>24</v>
      </c>
      <c r="W54" s="10" t="n">
        <v>0.62575</v>
      </c>
      <c r="X54" s="11" t="n">
        <v>22</v>
      </c>
      <c r="Y54" s="10" t="n">
        <v>0.62002999285</v>
      </c>
      <c r="Z54" s="11" t="n">
        <v>24</v>
      </c>
      <c r="AA54" s="10" t="n">
        <v>0.5952</v>
      </c>
      <c r="AB54" s="10" t="n">
        <v>0.7099</v>
      </c>
      <c r="AC54" s="10" t="n">
        <v>0.4858</v>
      </c>
      <c r="AD54" s="10" t="n">
        <v>0.54</v>
      </c>
      <c r="AE54" s="10" t="n">
        <v>1</v>
      </c>
      <c r="AF54" s="10" t="n">
        <v>0.5614</v>
      </c>
      <c r="AG54" s="12" t="n">
        <v>19.48</v>
      </c>
      <c r="AH54" s="11" t="n">
        <v>0</v>
      </c>
      <c r="AI54" s="1" t="s">
        <v>87</v>
      </c>
      <c r="AJ54" s="12" t="n">
        <v>8.46</v>
      </c>
      <c r="AK54" s="12" t="n">
        <v>8.28</v>
      </c>
      <c r="AL54" s="12" t="n">
        <v>8.91</v>
      </c>
      <c r="AM54" s="13" t="n">
        <v>15.0259524703969</v>
      </c>
      <c r="AN54" s="11" t="n">
        <v>25</v>
      </c>
      <c r="AO54" s="11" t="n">
        <v>13</v>
      </c>
      <c r="AP54" s="14" t="s">
        <v>88</v>
      </c>
      <c r="AQ54" s="13" t="n">
        <v>10.5181667292779</v>
      </c>
      <c r="AR54" s="11" t="n">
        <v>25</v>
      </c>
      <c r="AS54" s="13" t="n">
        <v>0.694088246964553</v>
      </c>
      <c r="AT54" s="13" t="n">
        <v>11.2122549762424</v>
      </c>
      <c r="AU54" s="11" t="n">
        <v>25</v>
      </c>
      <c r="AV54" s="10"/>
      <c r="AW54" s="14" t="s">
        <v>89</v>
      </c>
      <c r="AX54" s="14" t="s">
        <v>90</v>
      </c>
      <c r="AY54" s="10" t="n">
        <v>9.21508559643332</v>
      </c>
      <c r="AZ54" s="10" t="n">
        <v>109.215085596433</v>
      </c>
      <c r="BA54" s="11" t="n">
        <v>23</v>
      </c>
      <c r="BB54" s="14" t="s">
        <v>91</v>
      </c>
      <c r="BC54" s="10"/>
      <c r="BD54" s="11"/>
      <c r="BE54" s="14" t="s">
        <v>92</v>
      </c>
      <c r="BF54" s="10" t="n">
        <v>0.00832194773938396</v>
      </c>
      <c r="BG54" s="11" t="n">
        <v>27</v>
      </c>
      <c r="BH54" s="11" t="n">
        <v>12</v>
      </c>
      <c r="BI54" s="11" t="n">
        <v>12</v>
      </c>
      <c r="BJ54" s="11" t="n">
        <v>0</v>
      </c>
      <c r="BK54" s="10"/>
      <c r="BL54" s="14" t="s">
        <v>93</v>
      </c>
      <c r="BM54" s="15" t="n">
        <f aca="false">(F54-'Ensemble Parameters'!$B$20)/'Ensemble Parameters'!$C$20</f>
        <v>1.0795682107182</v>
      </c>
      <c r="BN54" s="15" t="n">
        <f aca="false">(L54-'Ensemble Parameters'!$B$21)/'Ensemble Parameters'!$C$21</f>
        <v>0.920498816018577</v>
      </c>
      <c r="BO54" s="15" t="n">
        <f aca="false">(S54-'Ensemble Parameters'!$B$22)/'Ensemble Parameters'!$C$22</f>
        <v>1.05435895942487</v>
      </c>
      <c r="BP54" s="15" t="n">
        <f aca="false">(W54-'Ensemble Parameters'!$B$23)/'Ensemble Parameters'!$C$23</f>
        <v>1.07485021148087</v>
      </c>
      <c r="BQ54" s="15" t="n">
        <f aca="false">AVERAGE(BO54:BP54)</f>
        <v>1.06460458545287</v>
      </c>
      <c r="BR54" s="15" t="n">
        <f aca="false">(AQ54-'Ensemble Parameters'!$B$24)/'Ensemble Parameters'!$C$24</f>
        <v>0.703596607113625</v>
      </c>
      <c r="BS54" s="15" t="n">
        <f aca="false">BM54*'Ensemble Parameters'!$B$5+BN54*'Ensemble Parameters'!$B$6+BQ54*'Ensemble Parameters'!$B$8+BR54*'Ensemble Parameters'!$B$7</f>
        <v>0.942067054825817</v>
      </c>
      <c r="BT54" s="16" t="n">
        <f aca="false">'Ensemble Parameters'!$B$11+'Ensemble Parameters'!$B$12*BS54</f>
        <v>109.420670548258</v>
      </c>
      <c r="BU54" s="17" t="n">
        <f aca="false">'Ensemble Parameters'!$B$13*BS54</f>
        <v>13.1889387675614</v>
      </c>
      <c r="BV54" s="18" t="n">
        <f aca="false">RANK(BT54,$BT$5:$BT$125,0)</f>
        <v>23</v>
      </c>
      <c r="BW54" s="15" t="n">
        <f aca="false">STDEV(BM54,BN54,BQ54,BR54)</f>
        <v>0.174408866021977</v>
      </c>
      <c r="BX54" s="19" t="str">
        <f aca="false">IF(BW54&lt;'Ensemble Parameters'!$B$14,"High",IF(BW54&lt;'Ensemble Parameters'!$B$15,"Moderate","Low"))</f>
        <v>High</v>
      </c>
      <c r="BY54" s="19" t="str">
        <f aca="false">IF(BX54="Low","REVIEW — MODEL DISAGREEMENT","")</f>
        <v/>
      </c>
      <c r="BZ54" s="20" t="n">
        <v>4</v>
      </c>
    </row>
    <row r="55" customFormat="false" ht="15" hidden="false" customHeight="true" outlineLevel="0" collapsed="false">
      <c r="A55" s="7" t="s">
        <v>177</v>
      </c>
      <c r="B55" s="7" t="s">
        <v>191</v>
      </c>
      <c r="C55" s="7" t="s">
        <v>192</v>
      </c>
      <c r="D55" s="7" t="n">
        <v>42</v>
      </c>
      <c r="E55" s="7" t="s">
        <v>192</v>
      </c>
      <c r="F55" s="8" t="n">
        <v>21.219765773</v>
      </c>
      <c r="G55" s="9" t="n">
        <v>100</v>
      </c>
      <c r="H55" s="8" t="n">
        <v>4.22075077904646</v>
      </c>
      <c r="I55" s="8" t="n">
        <v>8.55751343586062</v>
      </c>
      <c r="J55" s="7" t="s">
        <v>83</v>
      </c>
      <c r="K55" s="7" t="s">
        <v>84</v>
      </c>
      <c r="L55" s="8" t="n">
        <v>-4.84901338507021</v>
      </c>
      <c r="M55" s="8" t="n">
        <v>95.1509866149298</v>
      </c>
      <c r="N55" s="9" t="n">
        <v>80</v>
      </c>
      <c r="O55" s="8" t="n">
        <v>0.421590476190476</v>
      </c>
      <c r="P55" s="8" t="n">
        <v>-1.25455238095238</v>
      </c>
      <c r="Q55" s="7" t="s">
        <v>85</v>
      </c>
      <c r="R55" s="1" t="s">
        <v>86</v>
      </c>
      <c r="S55" s="10" t="n">
        <v>0.325333</v>
      </c>
      <c r="T55" s="11" t="n">
        <v>106</v>
      </c>
      <c r="U55" s="10" t="n">
        <v>0.332824</v>
      </c>
      <c r="V55" s="11" t="n">
        <v>101</v>
      </c>
      <c r="W55" s="10" t="n">
        <v>0.34483</v>
      </c>
      <c r="X55" s="11" t="n">
        <v>107</v>
      </c>
      <c r="Y55" s="10" t="n">
        <v>0.35058734053</v>
      </c>
      <c r="Z55" s="11" t="n">
        <v>101</v>
      </c>
      <c r="AA55" s="10" t="n">
        <v>0.199</v>
      </c>
      <c r="AB55" s="10" t="n">
        <v>0.3844</v>
      </c>
      <c r="AC55" s="10" t="n">
        <v>0.4572</v>
      </c>
      <c r="AD55" s="10" t="n">
        <v>0.515</v>
      </c>
      <c r="AE55" s="10" t="n">
        <v>0.325</v>
      </c>
      <c r="AF55" s="10" t="n">
        <v>0.4096</v>
      </c>
      <c r="AG55" s="12" t="n">
        <v>13.42</v>
      </c>
      <c r="AH55" s="11" t="n">
        <v>-5</v>
      </c>
      <c r="AI55" s="1" t="s">
        <v>87</v>
      </c>
      <c r="AJ55" s="12" t="n">
        <v>3.51</v>
      </c>
      <c r="AK55" s="12" t="n">
        <v>3.57</v>
      </c>
      <c r="AL55" s="12" t="n">
        <v>2.9</v>
      </c>
      <c r="AM55" s="13" t="n">
        <v>-5.86812278842123</v>
      </c>
      <c r="AN55" s="11" t="n">
        <v>53</v>
      </c>
      <c r="AO55" s="11" t="n">
        <v>12</v>
      </c>
      <c r="AP55" s="14" t="s">
        <v>88</v>
      </c>
      <c r="AQ55" s="13" t="n">
        <v>-4.10768595189486</v>
      </c>
      <c r="AR55" s="11" t="n">
        <v>53</v>
      </c>
      <c r="AS55" s="13" t="n">
        <v>-1.21447184955988</v>
      </c>
      <c r="AT55" s="13" t="n">
        <v>-5.32215780145473</v>
      </c>
      <c r="AU55" s="11" t="n">
        <v>58</v>
      </c>
      <c r="AV55" s="10"/>
      <c r="AW55" s="14" t="s">
        <v>89</v>
      </c>
      <c r="AX55" s="14" t="s">
        <v>90</v>
      </c>
      <c r="AY55" s="10" t="n">
        <v>-5.62995883961566</v>
      </c>
      <c r="AZ55" s="10" t="n">
        <v>94.3700411603843</v>
      </c>
      <c r="BA55" s="11" t="n">
        <v>79</v>
      </c>
      <c r="BB55" s="14" t="s">
        <v>91</v>
      </c>
      <c r="BC55" s="10"/>
      <c r="BD55" s="11"/>
      <c r="BE55" s="14" t="s">
        <v>92</v>
      </c>
      <c r="BF55" s="10" t="n">
        <v>0.00829383458474943</v>
      </c>
      <c r="BG55" s="11" t="n">
        <v>55</v>
      </c>
      <c r="BH55" s="11" t="n">
        <v>12</v>
      </c>
      <c r="BI55" s="11" t="n">
        <v>12</v>
      </c>
      <c r="BJ55" s="11" t="n">
        <v>0</v>
      </c>
      <c r="BK55" s="10"/>
      <c r="BL55" s="14" t="s">
        <v>93</v>
      </c>
      <c r="BM55" s="15" t="n">
        <f aca="false">(F55-'Ensemble Parameters'!$B$20)/'Ensemble Parameters'!$C$20</f>
        <v>-0.901444581333921</v>
      </c>
      <c r="BN55" s="15" t="n">
        <f aca="false">(L55-'Ensemble Parameters'!$B$21)/'Ensemble Parameters'!$C$21</f>
        <v>-0.508278138070703</v>
      </c>
      <c r="BO55" s="15" t="n">
        <f aca="false">(S55-'Ensemble Parameters'!$B$22)/'Ensemble Parameters'!$C$22</f>
        <v>-1.06412752718089</v>
      </c>
      <c r="BP55" s="15" t="n">
        <f aca="false">(W55-'Ensemble Parameters'!$B$23)/'Ensemble Parameters'!$C$23</f>
        <v>-1.12629335169679</v>
      </c>
      <c r="BQ55" s="15" t="n">
        <f aca="false">AVERAGE(BO55:BP55)</f>
        <v>-1.09521043943884</v>
      </c>
      <c r="BR55" s="15" t="n">
        <f aca="false">(AQ55-'Ensemble Parameters'!$B$24)/'Ensemble Parameters'!$C$24</f>
        <v>-0.266880221550932</v>
      </c>
      <c r="BS55" s="15" t="n">
        <f aca="false">BM55*'Ensemble Parameters'!$B$5+BN55*'Ensemble Parameters'!$B$6+BQ55*'Ensemble Parameters'!$B$8+BR55*'Ensemble Parameters'!$B$7</f>
        <v>-0.692953345098598</v>
      </c>
      <c r="BT55" s="16" t="n">
        <f aca="false">'Ensemble Parameters'!$B$11+'Ensemble Parameters'!$B$12*BS55</f>
        <v>93.070466549014</v>
      </c>
      <c r="BU55" s="17" t="n">
        <f aca="false">'Ensemble Parameters'!$B$13*BS55</f>
        <v>-9.70134683138038</v>
      </c>
      <c r="BV55" s="18" t="n">
        <f aca="false">RANK(BT55,$BT$5:$BT$125,0)</f>
        <v>89</v>
      </c>
      <c r="BW55" s="15" t="n">
        <f aca="false">STDEV(BM55,BN55,BQ55,BR55)</f>
        <v>0.374576473827195</v>
      </c>
      <c r="BX55" s="19" t="str">
        <f aca="false">IF(BW55&lt;'Ensemble Parameters'!$B$14,"High",IF(BW55&lt;'Ensemble Parameters'!$B$15,"Moderate","Low"))</f>
        <v>Moderate</v>
      </c>
      <c r="BY55" s="19" t="str">
        <f aca="false">IF(BX55="Low","REVIEW — MODEL DISAGREEMENT","")</f>
        <v/>
      </c>
      <c r="BZ55" s="20" t="n">
        <v>4</v>
      </c>
    </row>
    <row r="56" customFormat="false" ht="15" hidden="false" customHeight="true" outlineLevel="0" collapsed="false">
      <c r="A56" s="7" t="s">
        <v>177</v>
      </c>
      <c r="B56" s="7" t="s">
        <v>193</v>
      </c>
      <c r="C56" s="7" t="s">
        <v>194</v>
      </c>
      <c r="D56" s="7" t="n">
        <v>43</v>
      </c>
      <c r="E56" s="7" t="s">
        <v>194</v>
      </c>
      <c r="F56" s="8" t="n">
        <v>26.293506081</v>
      </c>
      <c r="G56" s="9" t="n">
        <v>39</v>
      </c>
      <c r="H56" s="8" t="n">
        <v>4.11339144260683</v>
      </c>
      <c r="I56" s="8" t="n">
        <v>13.9533317531795</v>
      </c>
      <c r="J56" s="7" t="s">
        <v>83</v>
      </c>
      <c r="K56" s="7" t="s">
        <v>84</v>
      </c>
      <c r="L56" s="8" t="n">
        <v>-0.301318955074181</v>
      </c>
      <c r="M56" s="8" t="n">
        <v>99.6986810449258</v>
      </c>
      <c r="N56" s="9" t="n">
        <v>46</v>
      </c>
      <c r="O56" s="8" t="n">
        <v>0.583238095238095</v>
      </c>
      <c r="P56" s="8" t="n">
        <v>1.33180952380953</v>
      </c>
      <c r="Q56" s="7" t="s">
        <v>85</v>
      </c>
      <c r="R56" s="1" t="s">
        <v>86</v>
      </c>
      <c r="S56" s="10" t="n">
        <v>0.513333</v>
      </c>
      <c r="T56" s="11" t="n">
        <v>43</v>
      </c>
      <c r="U56" s="10" t="n">
        <v>0.495464</v>
      </c>
      <c r="V56" s="11" t="n">
        <v>46</v>
      </c>
      <c r="W56" s="10" t="n">
        <v>0.52311</v>
      </c>
      <c r="X56" s="11" t="n">
        <v>44</v>
      </c>
      <c r="Y56" s="10" t="n">
        <v>0.50437130991</v>
      </c>
      <c r="Z56" s="11" t="n">
        <v>46</v>
      </c>
      <c r="AA56" s="10" t="n">
        <v>0.4216</v>
      </c>
      <c r="AB56" s="10" t="n">
        <v>0.537</v>
      </c>
      <c r="AC56" s="10" t="n">
        <v>0.481</v>
      </c>
      <c r="AD56" s="10" t="n">
        <v>0.629</v>
      </c>
      <c r="AE56" s="10" t="n">
        <v>0.85</v>
      </c>
      <c r="AF56" s="10" t="n">
        <v>0.3123</v>
      </c>
      <c r="AG56" s="12" t="n">
        <v>18.37</v>
      </c>
      <c r="AH56" s="11" t="n">
        <v>3</v>
      </c>
      <c r="AI56" s="1" t="s">
        <v>87</v>
      </c>
      <c r="AJ56" s="12" t="n">
        <v>5.37</v>
      </c>
      <c r="AK56" s="12" t="n">
        <v>5.44</v>
      </c>
      <c r="AL56" s="12" t="n">
        <v>6.05</v>
      </c>
      <c r="AM56" s="13" t="n">
        <v>-4.66216912096394</v>
      </c>
      <c r="AN56" s="11" t="n">
        <v>49</v>
      </c>
      <c r="AO56" s="11" t="n">
        <v>13</v>
      </c>
      <c r="AP56" s="14" t="s">
        <v>88</v>
      </c>
      <c r="AQ56" s="13" t="n">
        <v>-3.26351838467476</v>
      </c>
      <c r="AR56" s="11" t="n">
        <v>49</v>
      </c>
      <c r="AS56" s="13" t="n">
        <v>0.340501772085264</v>
      </c>
      <c r="AT56" s="13" t="n">
        <v>-2.92301661258949</v>
      </c>
      <c r="AU56" s="11" t="n">
        <v>48</v>
      </c>
      <c r="AV56" s="10"/>
      <c r="AW56" s="14" t="s">
        <v>89</v>
      </c>
      <c r="AX56" s="14" t="s">
        <v>90</v>
      </c>
      <c r="AY56" s="10" t="n">
        <v>-1.86066440961964</v>
      </c>
      <c r="AZ56" s="10" t="n">
        <v>98.1393355903804</v>
      </c>
      <c r="BA56" s="11" t="n">
        <v>51</v>
      </c>
      <c r="BB56" s="14" t="s">
        <v>91</v>
      </c>
      <c r="BC56" s="10"/>
      <c r="BD56" s="11"/>
      <c r="BE56" s="14" t="s">
        <v>92</v>
      </c>
      <c r="BF56" s="10" t="n">
        <v>0.00828858212620011</v>
      </c>
      <c r="BG56" s="11" t="n">
        <v>63</v>
      </c>
      <c r="BH56" s="11" t="n">
        <v>12</v>
      </c>
      <c r="BI56" s="11" t="n">
        <v>12</v>
      </c>
      <c r="BJ56" s="11" t="n">
        <v>0</v>
      </c>
      <c r="BK56" s="10"/>
      <c r="BL56" s="14" t="s">
        <v>93</v>
      </c>
      <c r="BM56" s="15" t="n">
        <f aca="false">(F56-'Ensemble Parameters'!$B$20)/'Ensemble Parameters'!$C$20</f>
        <v>0.262447294062036</v>
      </c>
      <c r="BN56" s="15" t="n">
        <f aca="false">(L56-'Ensemble Parameters'!$B$21)/'Ensemble Parameters'!$C$21</f>
        <v>-0.031584535922723</v>
      </c>
      <c r="BO56" s="15" t="n">
        <f aca="false">(S56-'Ensemble Parameters'!$B$22)/'Ensemble Parameters'!$C$22</f>
        <v>0.246916334372125</v>
      </c>
      <c r="BP56" s="15" t="n">
        <f aca="false">(W56-'Ensemble Parameters'!$B$23)/'Ensemble Parameters'!$C$23</f>
        <v>0.270616353711557</v>
      </c>
      <c r="BQ56" s="15" t="n">
        <f aca="false">AVERAGE(BO56:BP56)</f>
        <v>0.258766344041841</v>
      </c>
      <c r="BR56" s="15" t="n">
        <f aca="false">(AQ56-'Ensemble Parameters'!$B$24)/'Ensemble Parameters'!$C$24</f>
        <v>-0.210866730826264</v>
      </c>
      <c r="BS56" s="15" t="n">
        <f aca="false">BM56*'Ensemble Parameters'!$B$5+BN56*'Ensemble Parameters'!$B$6+BQ56*'Ensemble Parameters'!$B$8+BR56*'Ensemble Parameters'!$B$7</f>
        <v>0.0696905928387225</v>
      </c>
      <c r="BT56" s="16" t="n">
        <f aca="false">'Ensemble Parameters'!$B$11+'Ensemble Parameters'!$B$12*BS56</f>
        <v>100.696905928387</v>
      </c>
      <c r="BU56" s="17" t="n">
        <f aca="false">'Ensemble Parameters'!$B$13*BS56</f>
        <v>0.975668299742115</v>
      </c>
      <c r="BV56" s="18" t="n">
        <f aca="false">RANK(BT56,$BT$5:$BT$125,0)</f>
        <v>42</v>
      </c>
      <c r="BW56" s="15" t="n">
        <f aca="false">STDEV(BM56,BN56,BQ56,BR56)</f>
        <v>0.232288505331355</v>
      </c>
      <c r="BX56" s="19" t="str">
        <f aca="false">IF(BW56&lt;'Ensemble Parameters'!$B$14,"High",IF(BW56&lt;'Ensemble Parameters'!$B$15,"Moderate","Low"))</f>
        <v>High</v>
      </c>
      <c r="BY56" s="19" t="str">
        <f aca="false">IF(BX56="Low","REVIEW — MODEL DISAGREEMENT","")</f>
        <v/>
      </c>
      <c r="BZ56" s="20" t="n">
        <v>4</v>
      </c>
    </row>
    <row r="57" customFormat="false" ht="15" hidden="false" customHeight="true" outlineLevel="0" collapsed="false">
      <c r="A57" s="7" t="s">
        <v>177</v>
      </c>
      <c r="B57" s="7" t="s">
        <v>195</v>
      </c>
      <c r="C57" s="7" t="s">
        <v>196</v>
      </c>
      <c r="D57" s="7" t="n">
        <v>44</v>
      </c>
      <c r="E57" s="7" t="s">
        <v>196</v>
      </c>
      <c r="F57" s="8" t="n">
        <v>20.958852862</v>
      </c>
      <c r="G57" s="9" t="n">
        <v>107</v>
      </c>
      <c r="H57" s="8" t="n">
        <v>4.17854630050638</v>
      </c>
      <c r="I57" s="8" t="n">
        <v>8.42321396048086</v>
      </c>
      <c r="J57" s="7" t="s">
        <v>83</v>
      </c>
      <c r="K57" s="7" t="s">
        <v>84</v>
      </c>
      <c r="L57" s="8" t="n">
        <v>-5.36398224292431</v>
      </c>
      <c r="M57" s="8" t="n">
        <v>94.6360177570757</v>
      </c>
      <c r="N57" s="9" t="n">
        <v>85</v>
      </c>
      <c r="O57" s="8" t="n">
        <v>0.547790476190476</v>
      </c>
      <c r="P57" s="8" t="n">
        <v>0.76464761904762</v>
      </c>
      <c r="Q57" s="7" t="s">
        <v>85</v>
      </c>
      <c r="R57" s="1" t="s">
        <v>86</v>
      </c>
      <c r="S57" s="10" t="n">
        <v>0.378797</v>
      </c>
      <c r="T57" s="11" t="n">
        <v>80</v>
      </c>
      <c r="U57" s="10" t="n">
        <v>0.403419</v>
      </c>
      <c r="V57" s="11" t="n">
        <v>68</v>
      </c>
      <c r="W57" s="10" t="n">
        <v>0.400155</v>
      </c>
      <c r="X57" s="11" t="n">
        <v>78</v>
      </c>
      <c r="Y57" s="10" t="n">
        <v>0.422879028405</v>
      </c>
      <c r="Z57" s="11" t="n">
        <v>68</v>
      </c>
      <c r="AA57" s="10" t="n">
        <v>0.157</v>
      </c>
      <c r="AB57" s="10" t="n">
        <v>0.6284</v>
      </c>
      <c r="AC57" s="10" t="n">
        <v>0.4949</v>
      </c>
      <c r="AD57" s="10" t="n">
        <v>0.633</v>
      </c>
      <c r="AE57" s="10" t="n">
        <v>0.325</v>
      </c>
      <c r="AF57" s="10" t="n">
        <v>0.6558</v>
      </c>
      <c r="AG57" s="12" t="n">
        <v>21.63</v>
      </c>
      <c r="AH57" s="11" t="n">
        <v>-11</v>
      </c>
      <c r="AI57" s="1" t="s">
        <v>87</v>
      </c>
      <c r="AJ57" s="12" t="n">
        <v>4.16</v>
      </c>
      <c r="AK57" s="12" t="n">
        <v>4.29</v>
      </c>
      <c r="AL57" s="12" t="n">
        <v>4</v>
      </c>
      <c r="AM57" s="13" t="n">
        <v>-12.3924700179985</v>
      </c>
      <c r="AN57" s="11" t="n">
        <v>83</v>
      </c>
      <c r="AO57" s="11" t="n">
        <v>12</v>
      </c>
      <c r="AP57" s="14" t="s">
        <v>88</v>
      </c>
      <c r="AQ57" s="13" t="n">
        <v>-8.67472901259895</v>
      </c>
      <c r="AR57" s="11" t="n">
        <v>85</v>
      </c>
      <c r="AS57" s="13" t="n">
        <v>0.592029855340235</v>
      </c>
      <c r="AT57" s="13" t="n">
        <v>-8.08269915725871</v>
      </c>
      <c r="AU57" s="11" t="n">
        <v>82</v>
      </c>
      <c r="AV57" s="10"/>
      <c r="AW57" s="14" t="s">
        <v>89</v>
      </c>
      <c r="AX57" s="14" t="s">
        <v>90</v>
      </c>
      <c r="AY57" s="10" t="n">
        <v>-4.17532769746977</v>
      </c>
      <c r="AZ57" s="10" t="n">
        <v>95.8246723025302</v>
      </c>
      <c r="BA57" s="11" t="n">
        <v>71</v>
      </c>
      <c r="BB57" s="14" t="s">
        <v>91</v>
      </c>
      <c r="BC57" s="10"/>
      <c r="BD57" s="11"/>
      <c r="BE57" s="14" t="s">
        <v>92</v>
      </c>
      <c r="BF57" s="10" t="n">
        <v>0.00832916637648051</v>
      </c>
      <c r="BG57" s="11" t="n">
        <v>21</v>
      </c>
      <c r="BH57" s="11" t="n">
        <v>12</v>
      </c>
      <c r="BI57" s="11" t="n">
        <v>12</v>
      </c>
      <c r="BJ57" s="11" t="n">
        <v>0</v>
      </c>
      <c r="BK57" s="10"/>
      <c r="BL57" s="14" t="s">
        <v>93</v>
      </c>
      <c r="BM57" s="15" t="n">
        <f aca="false">(F57-'Ensemble Parameters'!$B$20)/'Ensemble Parameters'!$C$20</f>
        <v>-0.961296761158732</v>
      </c>
      <c r="BN57" s="15" t="n">
        <f aca="false">(L57-'Ensemble Parameters'!$B$21)/'Ensemble Parameters'!$C$21</f>
        <v>-0.562257657500446</v>
      </c>
      <c r="BO57" s="15" t="n">
        <f aca="false">(S57-'Ensemble Parameters'!$B$22)/'Ensemble Parameters'!$C$22</f>
        <v>-0.691288968595406</v>
      </c>
      <c r="BP57" s="15" t="n">
        <f aca="false">(W57-'Ensemble Parameters'!$B$23)/'Ensemble Parameters'!$C$23</f>
        <v>-0.692795317976142</v>
      </c>
      <c r="BQ57" s="15" t="n">
        <f aca="false">AVERAGE(BO57:BP57)</f>
        <v>-0.692042143285774</v>
      </c>
      <c r="BR57" s="15" t="n">
        <f aca="false">(AQ57-'Ensemble Parameters'!$B$24)/'Ensemble Parameters'!$C$24</f>
        <v>-0.569919610948856</v>
      </c>
      <c r="BS57" s="15" t="n">
        <f aca="false">BM57*'Ensemble Parameters'!$B$5+BN57*'Ensemble Parameters'!$B$6+BQ57*'Ensemble Parameters'!$B$8+BR57*'Ensemble Parameters'!$B$7</f>
        <v>-0.696379043223452</v>
      </c>
      <c r="BT57" s="16" t="n">
        <f aca="false">'Ensemble Parameters'!$B$11+'Ensemble Parameters'!$B$12*BS57</f>
        <v>93.0362095677655</v>
      </c>
      <c r="BU57" s="17" t="n">
        <f aca="false">'Ensemble Parameters'!$B$13*BS57</f>
        <v>-9.74930660512833</v>
      </c>
      <c r="BV57" s="18" t="n">
        <f aca="false">RANK(BT57,$BT$5:$BT$125,0)</f>
        <v>90</v>
      </c>
      <c r="BW57" s="15" t="n">
        <f aca="false">STDEV(BM57,BN57,BQ57,BR57)</f>
        <v>0.186351585358231</v>
      </c>
      <c r="BX57" s="19" t="str">
        <f aca="false">IF(BW57&lt;'Ensemble Parameters'!$B$14,"High",IF(BW57&lt;'Ensemble Parameters'!$B$15,"Moderate","Low"))</f>
        <v>High</v>
      </c>
      <c r="BY57" s="19" t="str">
        <f aca="false">IF(BX57="Low","REVIEW — MODEL DISAGREEMENT","")</f>
        <v/>
      </c>
      <c r="BZ57" s="20" t="n">
        <v>4</v>
      </c>
    </row>
    <row r="58" customFormat="false" ht="15" hidden="false" customHeight="true" outlineLevel="0" collapsed="false">
      <c r="A58" s="7" t="s">
        <v>177</v>
      </c>
      <c r="B58" s="7" t="s">
        <v>197</v>
      </c>
      <c r="C58" s="7" t="s">
        <v>198</v>
      </c>
      <c r="D58" s="7" t="n">
        <v>45</v>
      </c>
      <c r="E58" s="7" t="s">
        <v>198</v>
      </c>
      <c r="F58" s="8" t="n">
        <v>26.845112465</v>
      </c>
      <c r="G58" s="9" t="n">
        <v>37</v>
      </c>
      <c r="H58" s="8" t="n">
        <v>4.10771174111767</v>
      </c>
      <c r="I58" s="8" t="n">
        <v>14.521977241647</v>
      </c>
      <c r="J58" s="7" t="s">
        <v>83</v>
      </c>
      <c r="K58" s="7" t="s">
        <v>84</v>
      </c>
      <c r="L58" s="8" t="n">
        <v>-0.481737641148855</v>
      </c>
      <c r="M58" s="8" t="n">
        <v>99.5182623588512</v>
      </c>
      <c r="N58" s="9" t="n">
        <v>48</v>
      </c>
      <c r="O58" s="8" t="n">
        <v>0.515161904761905</v>
      </c>
      <c r="P58" s="8" t="n">
        <v>0.242590476190477</v>
      </c>
      <c r="Q58" s="7" t="s">
        <v>85</v>
      </c>
      <c r="R58" s="1" t="s">
        <v>86</v>
      </c>
      <c r="S58" s="10" t="n">
        <v>0.484081</v>
      </c>
      <c r="T58" s="11" t="n">
        <v>47</v>
      </c>
      <c r="U58" s="10" t="n">
        <v>0.479665</v>
      </c>
      <c r="V58" s="11" t="n">
        <v>43</v>
      </c>
      <c r="W58" s="10" t="n">
        <v>0.49041</v>
      </c>
      <c r="X58" s="11" t="n">
        <v>51</v>
      </c>
      <c r="Y58" s="10" t="n">
        <v>0.48543132711</v>
      </c>
      <c r="Z58" s="11" t="n">
        <v>43</v>
      </c>
      <c r="AA58" s="10" t="n">
        <v>0.4433</v>
      </c>
      <c r="AB58" s="10" t="n">
        <v>0.4934</v>
      </c>
      <c r="AC58" s="10" t="n">
        <v>0.5667</v>
      </c>
      <c r="AD58" s="10" t="n">
        <v>0.624</v>
      </c>
      <c r="AE58" s="10" t="n">
        <v>0.325</v>
      </c>
      <c r="AF58" s="10" t="n">
        <v>0.4344</v>
      </c>
      <c r="AG58" s="12" t="n">
        <v>42.66</v>
      </c>
      <c r="AH58" s="11" t="n">
        <v>-4</v>
      </c>
      <c r="AI58" s="1" t="s">
        <v>87</v>
      </c>
      <c r="AJ58" s="12" t="n">
        <v>5.86</v>
      </c>
      <c r="AK58" s="12" t="n">
        <v>5.73</v>
      </c>
      <c r="AL58" s="12" t="n">
        <v>4.33</v>
      </c>
      <c r="AM58" s="13" t="n">
        <v>-0.728166255562554</v>
      </c>
      <c r="AN58" s="11" t="n">
        <v>41</v>
      </c>
      <c r="AO58" s="11" t="n">
        <v>13</v>
      </c>
      <c r="AP58" s="14" t="s">
        <v>88</v>
      </c>
      <c r="AQ58" s="13" t="n">
        <v>-0.509716378893788</v>
      </c>
      <c r="AR58" s="11" t="n">
        <v>41</v>
      </c>
      <c r="AS58" s="13" t="n">
        <v>-0.689998502128071</v>
      </c>
      <c r="AT58" s="13" t="n">
        <v>-1.19971488102186</v>
      </c>
      <c r="AU58" s="11" t="n">
        <v>42</v>
      </c>
      <c r="AV58" s="10"/>
      <c r="AW58" s="14" t="s">
        <v>89</v>
      </c>
      <c r="AX58" s="14" t="s">
        <v>90</v>
      </c>
      <c r="AY58" s="10" t="n">
        <v>-1.06428309569431</v>
      </c>
      <c r="AZ58" s="10" t="n">
        <v>98.9357169043057</v>
      </c>
      <c r="BA58" s="11" t="n">
        <v>45</v>
      </c>
      <c r="BB58" s="14" t="s">
        <v>91</v>
      </c>
      <c r="BC58" s="10"/>
      <c r="BD58" s="11"/>
      <c r="BE58" s="14" t="s">
        <v>92</v>
      </c>
      <c r="BF58" s="10" t="n">
        <v>0.00830013668569099</v>
      </c>
      <c r="BG58" s="11" t="n">
        <v>46</v>
      </c>
      <c r="BH58" s="11" t="n">
        <v>12</v>
      </c>
      <c r="BI58" s="11" t="n">
        <v>12</v>
      </c>
      <c r="BJ58" s="11" t="n">
        <v>0</v>
      </c>
      <c r="BK58" s="10"/>
      <c r="BL58" s="14" t="s">
        <v>93</v>
      </c>
      <c r="BM58" s="15" t="n">
        <f aca="false">(F58-'Ensemble Parameters'!$B$20)/'Ensemble Parameters'!$C$20</f>
        <v>0.388983172877484</v>
      </c>
      <c r="BN58" s="15" t="n">
        <f aca="false">(L58-'Ensemble Parameters'!$B$21)/'Ensemble Parameters'!$C$21</f>
        <v>-0.0504961920780854</v>
      </c>
      <c r="BO58" s="15" t="n">
        <f aca="false">(S58-'Ensemble Parameters'!$B$22)/'Ensemble Parameters'!$C$22</f>
        <v>0.0429234884245256</v>
      </c>
      <c r="BP58" s="15" t="n">
        <f aca="false">(W58-'Ensemble Parameters'!$B$23)/'Ensemble Parameters'!$C$23</f>
        <v>0.014396096998225</v>
      </c>
      <c r="BQ58" s="15" t="n">
        <f aca="false">AVERAGE(BO58:BP58)</f>
        <v>0.0286597927113753</v>
      </c>
      <c r="BR58" s="15" t="n">
        <f aca="false">(AQ58-'Ensemble Parameters'!$B$24)/'Ensemble Parameters'!$C$24</f>
        <v>-0.0281422705436429</v>
      </c>
      <c r="BS58" s="15" t="n">
        <f aca="false">BM58*'Ensemble Parameters'!$B$5+BN58*'Ensemble Parameters'!$B$6+BQ58*'Ensemble Parameters'!$B$8+BR58*'Ensemble Parameters'!$B$7</f>
        <v>0.0847511257417827</v>
      </c>
      <c r="BT58" s="16" t="n">
        <f aca="false">'Ensemble Parameters'!$B$11+'Ensemble Parameters'!$B$12*BS58</f>
        <v>100.847511257418</v>
      </c>
      <c r="BU58" s="17" t="n">
        <f aca="false">'Ensemble Parameters'!$B$13*BS58</f>
        <v>1.18651576038496</v>
      </c>
      <c r="BV58" s="18" t="n">
        <f aca="false">RANK(BT58,$BT$5:$BT$125,0)</f>
        <v>40</v>
      </c>
      <c r="BW58" s="15" t="n">
        <f aca="false">STDEV(BM58,BN58,BQ58,BR58)</f>
        <v>0.20554004642067</v>
      </c>
      <c r="BX58" s="19" t="str">
        <f aca="false">IF(BW58&lt;'Ensemble Parameters'!$B$14,"High",IF(BW58&lt;'Ensemble Parameters'!$B$15,"Moderate","Low"))</f>
        <v>High</v>
      </c>
      <c r="BY58" s="19" t="str">
        <f aca="false">IF(BX58="Low","REVIEW — MODEL DISAGREEMENT","")</f>
        <v/>
      </c>
      <c r="BZ58" s="20" t="n">
        <v>4</v>
      </c>
    </row>
    <row r="59" customFormat="false" ht="15" hidden="false" customHeight="true" outlineLevel="0" collapsed="false">
      <c r="A59" s="7" t="s">
        <v>177</v>
      </c>
      <c r="B59" s="7" t="s">
        <v>199</v>
      </c>
      <c r="C59" s="7" t="s">
        <v>199</v>
      </c>
      <c r="D59" s="7" t="n">
        <v>46</v>
      </c>
      <c r="E59" s="7" t="s">
        <v>199</v>
      </c>
      <c r="F59" s="8" t="n">
        <v>28.264068325</v>
      </c>
      <c r="G59" s="9" t="n">
        <v>30</v>
      </c>
      <c r="H59" s="8" t="n">
        <v>4.26555654614647</v>
      </c>
      <c r="I59" s="8" t="n">
        <v>15.4673986865606</v>
      </c>
      <c r="J59" s="7" t="s">
        <v>83</v>
      </c>
      <c r="K59" s="7" t="s">
        <v>84</v>
      </c>
      <c r="L59" s="8" t="n">
        <v>8.6632950168095</v>
      </c>
      <c r="M59" s="8" t="n">
        <v>108.66329501681</v>
      </c>
      <c r="N59" s="9" t="n">
        <v>24</v>
      </c>
      <c r="O59" s="8" t="n">
        <v>0.573209523809524</v>
      </c>
      <c r="P59" s="8" t="n">
        <v>1.17135238095238</v>
      </c>
      <c r="Q59" s="7" t="s">
        <v>85</v>
      </c>
      <c r="R59" s="1" t="s">
        <v>86</v>
      </c>
      <c r="S59" s="10" t="n">
        <v>0.59371</v>
      </c>
      <c r="T59" s="11" t="n">
        <v>28</v>
      </c>
      <c r="U59" s="10" t="n">
        <v>0.582723</v>
      </c>
      <c r="V59" s="11" t="n">
        <v>27</v>
      </c>
      <c r="W59" s="10" t="n">
        <v>0.588345</v>
      </c>
      <c r="X59" s="11" t="n">
        <v>27</v>
      </c>
      <c r="Y59" s="10" t="n">
        <v>0.577834320195</v>
      </c>
      <c r="Z59" s="11" t="n">
        <v>27</v>
      </c>
      <c r="AA59" s="10" t="n">
        <v>0.6206</v>
      </c>
      <c r="AB59" s="10" t="n">
        <v>0.4683</v>
      </c>
      <c r="AC59" s="10" t="n">
        <v>0.4895</v>
      </c>
      <c r="AD59" s="10" t="n">
        <v>0.701</v>
      </c>
      <c r="AE59" s="10" t="n">
        <v>0.85</v>
      </c>
      <c r="AF59" s="10" t="n">
        <v>0.4701</v>
      </c>
      <c r="AG59" s="12" t="n">
        <v>20.35</v>
      </c>
      <c r="AH59" s="11" t="n">
        <v>-1</v>
      </c>
      <c r="AI59" s="1" t="s">
        <v>87</v>
      </c>
      <c r="AJ59" s="12" t="n">
        <v>6.95</v>
      </c>
      <c r="AK59" s="12" t="n">
        <v>6.77</v>
      </c>
      <c r="AL59" s="12" t="n">
        <v>6.19</v>
      </c>
      <c r="AM59" s="13" t="n">
        <v>17.3398606398163</v>
      </c>
      <c r="AN59" s="11" t="n">
        <v>24</v>
      </c>
      <c r="AO59" s="11" t="n">
        <v>13</v>
      </c>
      <c r="AP59" s="14" t="s">
        <v>88</v>
      </c>
      <c r="AQ59" s="13" t="n">
        <v>12.1379024478714</v>
      </c>
      <c r="AR59" s="11" t="n">
        <v>24</v>
      </c>
      <c r="AS59" s="13" t="n">
        <v>-0.49157020867034</v>
      </c>
      <c r="AT59" s="13" t="n">
        <v>11.6463322392011</v>
      </c>
      <c r="AU59" s="11" t="n">
        <v>23</v>
      </c>
      <c r="AV59" s="10"/>
      <c r="AW59" s="14" t="s">
        <v>89</v>
      </c>
      <c r="AX59" s="14" t="s">
        <v>90</v>
      </c>
      <c r="AY59" s="10" t="n">
        <v>8.36634956226405</v>
      </c>
      <c r="AZ59" s="10" t="n">
        <v>108.366349562264</v>
      </c>
      <c r="BA59" s="11" t="n">
        <v>25</v>
      </c>
      <c r="BB59" s="14" t="s">
        <v>91</v>
      </c>
      <c r="BC59" s="10"/>
      <c r="BD59" s="11"/>
      <c r="BE59" s="14" t="s">
        <v>92</v>
      </c>
      <c r="BF59" s="10" t="n">
        <v>0.00828416106999401</v>
      </c>
      <c r="BG59" s="11" t="n">
        <v>67</v>
      </c>
      <c r="BH59" s="11" t="n">
        <v>12</v>
      </c>
      <c r="BI59" s="11" t="n">
        <v>12</v>
      </c>
      <c r="BJ59" s="11" t="n">
        <v>0</v>
      </c>
      <c r="BK59" s="10"/>
      <c r="BL59" s="14" t="s">
        <v>93</v>
      </c>
      <c r="BM59" s="15" t="n">
        <f aca="false">(F59-'Ensemble Parameters'!$B$20)/'Ensemble Parameters'!$C$20</f>
        <v>0.71448489286017</v>
      </c>
      <c r="BN59" s="15" t="n">
        <f aca="false">(L59-'Ensemble Parameters'!$B$21)/'Ensemble Parameters'!$C$21</f>
        <v>0.908094721754903</v>
      </c>
      <c r="BO59" s="15" t="n">
        <f aca="false">(S59-'Ensemble Parameters'!$B$22)/'Ensemble Parameters'!$C$22</f>
        <v>0.807436400648967</v>
      </c>
      <c r="BP59" s="15" t="n">
        <f aca="false">(W59-'Ensemble Parameters'!$B$23)/'Ensemble Parameters'!$C$23</f>
        <v>0.78176401263187</v>
      </c>
      <c r="BQ59" s="15" t="n">
        <f aca="false">AVERAGE(BO59:BP59)</f>
        <v>0.794600206640418</v>
      </c>
      <c r="BR59" s="15" t="n">
        <f aca="false">(AQ59-'Ensemble Parameters'!$B$24)/'Ensemble Parameters'!$C$24</f>
        <v>0.811071775756531</v>
      </c>
      <c r="BS59" s="15" t="n">
        <f aca="false">BM59*'Ensemble Parameters'!$B$5+BN59*'Ensemble Parameters'!$B$6+BQ59*'Ensemble Parameters'!$B$8+BR59*'Ensemble Parameters'!$B$7</f>
        <v>0.807062899253006</v>
      </c>
      <c r="BT59" s="16" t="n">
        <f aca="false">'Ensemble Parameters'!$B$11+'Ensemble Parameters'!$B$12*BS59</f>
        <v>108.07062899253</v>
      </c>
      <c r="BU59" s="17" t="n">
        <f aca="false">'Ensemble Parameters'!$B$13*BS59</f>
        <v>11.2988805895421</v>
      </c>
      <c r="BV59" s="18" t="n">
        <f aca="false">RANK(BT59,$BT$5:$BT$125,0)</f>
        <v>26</v>
      </c>
      <c r="BW59" s="15" t="n">
        <f aca="false">STDEV(BM59,BN59,BQ59,BR59)</f>
        <v>0.0794764246463551</v>
      </c>
      <c r="BX59" s="19" t="str">
        <f aca="false">IF(BW59&lt;'Ensemble Parameters'!$B$14,"High",IF(BW59&lt;'Ensemble Parameters'!$B$15,"Moderate","Low"))</f>
        <v>High</v>
      </c>
      <c r="BY59" s="19" t="str">
        <f aca="false">IF(BX59="Low","REVIEW — MODEL DISAGREEMENT","")</f>
        <v/>
      </c>
      <c r="BZ59" s="20" t="n">
        <v>4</v>
      </c>
    </row>
    <row r="60" customFormat="false" ht="15" hidden="false" customHeight="true" outlineLevel="0" collapsed="false">
      <c r="A60" s="7" t="s">
        <v>177</v>
      </c>
      <c r="B60" s="7" t="s">
        <v>200</v>
      </c>
      <c r="C60" s="7" t="s">
        <v>201</v>
      </c>
      <c r="D60" s="7" t="n">
        <v>47</v>
      </c>
      <c r="E60" s="7" t="s">
        <v>201</v>
      </c>
      <c r="F60" s="8" t="n">
        <v>33.63213183</v>
      </c>
      <c r="G60" s="9" t="n">
        <v>5</v>
      </c>
      <c r="H60" s="8" t="n">
        <v>4.28590015692958</v>
      </c>
      <c r="I60" s="8" t="n">
        <v>20.7744313592113</v>
      </c>
      <c r="J60" s="7" t="s">
        <v>83</v>
      </c>
      <c r="K60" s="7" t="s">
        <v>84</v>
      </c>
      <c r="L60" s="8" t="n">
        <v>18.1136282955189</v>
      </c>
      <c r="M60" s="8" t="n">
        <v>118.113628295519</v>
      </c>
      <c r="N60" s="9" t="n">
        <v>11</v>
      </c>
      <c r="O60" s="8" t="n">
        <v>0.667466666666667</v>
      </c>
      <c r="P60" s="8" t="n">
        <v>2.67946666666667</v>
      </c>
      <c r="Q60" s="7" t="s">
        <v>85</v>
      </c>
      <c r="R60" s="1" t="s">
        <v>86</v>
      </c>
      <c r="S60" s="10" t="n">
        <v>0.771818</v>
      </c>
      <c r="T60" s="11" t="n">
        <v>5</v>
      </c>
      <c r="U60" s="10" t="n">
        <v>0.778288</v>
      </c>
      <c r="V60" s="11" t="n">
        <v>6</v>
      </c>
      <c r="W60" s="10" t="n">
        <v>0.75266</v>
      </c>
      <c r="X60" s="11" t="n">
        <v>4</v>
      </c>
      <c r="Y60" s="10" t="n">
        <v>0.76083245466</v>
      </c>
      <c r="Z60" s="11" t="n">
        <v>6</v>
      </c>
      <c r="AA60" s="10" t="n">
        <v>0.9088</v>
      </c>
      <c r="AB60" s="10" t="n">
        <v>0.5749</v>
      </c>
      <c r="AC60" s="10" t="n">
        <v>0.5916</v>
      </c>
      <c r="AD60" s="10" t="n">
        <v>0.717</v>
      </c>
      <c r="AE60" s="10" t="n">
        <v>1</v>
      </c>
      <c r="AF60" s="10" t="n">
        <v>0.8446</v>
      </c>
      <c r="AG60" s="12" t="n">
        <v>51.6</v>
      </c>
      <c r="AH60" s="11" t="n">
        <v>1</v>
      </c>
      <c r="AI60" s="1" t="s">
        <v>87</v>
      </c>
      <c r="AJ60" s="12" t="n">
        <v>10.76</v>
      </c>
      <c r="AK60" s="12" t="n">
        <v>10.43</v>
      </c>
      <c r="AL60" s="12" t="n">
        <v>9.68</v>
      </c>
      <c r="AM60" s="13" t="n">
        <v>37.2271914187388</v>
      </c>
      <c r="AN60" s="11" t="n">
        <v>14</v>
      </c>
      <c r="AO60" s="11" t="n">
        <v>14</v>
      </c>
      <c r="AP60" s="14" t="s">
        <v>88</v>
      </c>
      <c r="AQ60" s="13" t="n">
        <v>26.0590339931171</v>
      </c>
      <c r="AR60" s="11" t="n">
        <v>14</v>
      </c>
      <c r="AS60" s="13" t="n">
        <v>-0.0481187550516498</v>
      </c>
      <c r="AT60" s="13" t="n">
        <v>26.0109152380655</v>
      </c>
      <c r="AU60" s="11" t="n">
        <v>14</v>
      </c>
      <c r="AV60" s="10"/>
      <c r="AW60" s="14" t="s">
        <v>89</v>
      </c>
      <c r="AX60" s="14" t="s">
        <v>90</v>
      </c>
      <c r="AY60" s="10" t="n">
        <v>20.8126828409735</v>
      </c>
      <c r="AZ60" s="10" t="n">
        <v>120.812682840974</v>
      </c>
      <c r="BA60" s="11" t="n">
        <v>8</v>
      </c>
      <c r="BB60" s="14" t="s">
        <v>91</v>
      </c>
      <c r="BC60" s="10"/>
      <c r="BD60" s="11"/>
      <c r="BE60" s="14" t="s">
        <v>92</v>
      </c>
      <c r="BF60" s="10" t="n">
        <v>0.00831732240969091</v>
      </c>
      <c r="BG60" s="11" t="n">
        <v>32</v>
      </c>
      <c r="BH60" s="11" t="n">
        <v>12</v>
      </c>
      <c r="BI60" s="11" t="n">
        <v>12</v>
      </c>
      <c r="BJ60" s="11" t="n">
        <v>0</v>
      </c>
      <c r="BK60" s="10"/>
      <c r="BL60" s="14" t="s">
        <v>93</v>
      </c>
      <c r="BM60" s="15" t="n">
        <f aca="false">(F60-'Ensemble Parameters'!$B$20)/'Ensemble Parameters'!$C$20</f>
        <v>1.94589310865469</v>
      </c>
      <c r="BN60" s="15" t="n">
        <f aca="false">(L60-'Ensemble Parameters'!$B$21)/'Ensemble Parameters'!$C$21</f>
        <v>1.89868753344715</v>
      </c>
      <c r="BO60" s="15" t="n">
        <f aca="false">(S60-'Ensemble Parameters'!$B$22)/'Ensemble Parameters'!$C$22</f>
        <v>2.04949703944409</v>
      </c>
      <c r="BP60" s="15" t="n">
        <f aca="false">(W60-'Ensemble Parameters'!$B$23)/'Ensemble Parameters'!$C$23</f>
        <v>2.06925121391172</v>
      </c>
      <c r="BQ60" s="15" t="n">
        <f aca="false">AVERAGE(BO60:BP60)</f>
        <v>2.05937412667791</v>
      </c>
      <c r="BR60" s="15" t="n">
        <f aca="false">(AQ60-'Ensemble Parameters'!$B$24)/'Ensemble Parameters'!$C$24</f>
        <v>1.73478787545738</v>
      </c>
      <c r="BS60" s="15" t="n">
        <f aca="false">BM60*'Ensemble Parameters'!$B$5+BN60*'Ensemble Parameters'!$B$6+BQ60*'Ensemble Parameters'!$B$8+BR60*'Ensemble Parameters'!$B$7</f>
        <v>1.90968566105928</v>
      </c>
      <c r="BT60" s="16" t="n">
        <f aca="false">'Ensemble Parameters'!$B$11+'Ensemble Parameters'!$B$12*BS60</f>
        <v>119.096856610593</v>
      </c>
      <c r="BU60" s="17" t="n">
        <f aca="false">'Ensemble Parameters'!$B$13*BS60</f>
        <v>26.73559925483</v>
      </c>
      <c r="BV60" s="18" t="n">
        <f aca="false">RANK(BT60,$BT$5:$BT$125,0)</f>
        <v>9</v>
      </c>
      <c r="BW60" s="15" t="n">
        <f aca="false">STDEV(BM60,BN60,BQ60,BR60)</f>
        <v>0.134694481723211</v>
      </c>
      <c r="BX60" s="19" t="str">
        <f aca="false">IF(BW60&lt;'Ensemble Parameters'!$B$14,"High",IF(BW60&lt;'Ensemble Parameters'!$B$15,"Moderate","Low"))</f>
        <v>High</v>
      </c>
      <c r="BY60" s="19" t="str">
        <f aca="false">IF(BX60="Low","REVIEW — MODEL DISAGREEMENT","")</f>
        <v/>
      </c>
      <c r="BZ60" s="20" t="n">
        <v>4</v>
      </c>
    </row>
    <row r="61" customFormat="false" ht="15" hidden="false" customHeight="true" outlineLevel="0" collapsed="false">
      <c r="A61" s="7" t="s">
        <v>177</v>
      </c>
      <c r="B61" s="7" t="s">
        <v>202</v>
      </c>
      <c r="C61" s="7" t="s">
        <v>202</v>
      </c>
      <c r="D61" s="7" t="n">
        <v>48</v>
      </c>
      <c r="E61" s="7" t="s">
        <v>202</v>
      </c>
      <c r="F61" s="8" t="n">
        <v>23.762979523</v>
      </c>
      <c r="G61" s="9" t="n">
        <v>64</v>
      </c>
      <c r="H61" s="8" t="n">
        <v>4.35313219383193</v>
      </c>
      <c r="I61" s="8" t="n">
        <v>10.7035829415042</v>
      </c>
      <c r="J61" s="7" t="s">
        <v>83</v>
      </c>
      <c r="K61" s="7" t="s">
        <v>84</v>
      </c>
      <c r="L61" s="8" t="n">
        <v>-3.86132140008959</v>
      </c>
      <c r="M61" s="8" t="n">
        <v>96.1386785999104</v>
      </c>
      <c r="N61" s="9" t="n">
        <v>72</v>
      </c>
      <c r="O61" s="8" t="n">
        <v>0.607219047619048</v>
      </c>
      <c r="P61" s="8" t="n">
        <v>1.71550476190476</v>
      </c>
      <c r="Q61" s="7" t="s">
        <v>85</v>
      </c>
      <c r="R61" s="1" t="s">
        <v>86</v>
      </c>
      <c r="S61" s="10" t="n">
        <v>0.463691</v>
      </c>
      <c r="T61" s="11" t="n">
        <v>53</v>
      </c>
      <c r="U61" s="10" t="n">
        <v>0.461478</v>
      </c>
      <c r="V61" s="11" t="n">
        <v>55</v>
      </c>
      <c r="W61" s="10" t="n">
        <v>0.486165</v>
      </c>
      <c r="X61" s="11" t="n">
        <v>52</v>
      </c>
      <c r="Y61" s="10" t="n">
        <v>0.481954772515</v>
      </c>
      <c r="Z61" s="11" t="n">
        <v>55</v>
      </c>
      <c r="AA61" s="10" t="n">
        <v>0.2753</v>
      </c>
      <c r="AB61" s="10" t="n">
        <v>0.5483</v>
      </c>
      <c r="AC61" s="10" t="n">
        <v>0.4602</v>
      </c>
      <c r="AD61" s="10" t="n">
        <v>0.651</v>
      </c>
      <c r="AE61" s="10" t="n">
        <v>1</v>
      </c>
      <c r="AF61" s="10" t="n">
        <v>0.4388</v>
      </c>
      <c r="AG61" s="12" t="n">
        <v>14.01</v>
      </c>
      <c r="AH61" s="11" t="n">
        <v>2</v>
      </c>
      <c r="AI61" s="1" t="s">
        <v>87</v>
      </c>
      <c r="AJ61" s="12" t="n">
        <v>5.45</v>
      </c>
      <c r="AK61" s="12" t="n">
        <v>5.64</v>
      </c>
      <c r="AL61" s="12" t="n">
        <v>6.67</v>
      </c>
      <c r="AM61" s="13" t="n">
        <v>-12.0350081894157</v>
      </c>
      <c r="AN61" s="11" t="n">
        <v>82</v>
      </c>
      <c r="AO61" s="11" t="n">
        <v>12</v>
      </c>
      <c r="AP61" s="14" t="s">
        <v>88</v>
      </c>
      <c r="AQ61" s="13" t="n">
        <v>-8.42450573259098</v>
      </c>
      <c r="AR61" s="11" t="n">
        <v>84</v>
      </c>
      <c r="AS61" s="13" t="n">
        <v>1.21220221090467</v>
      </c>
      <c r="AT61" s="13" t="n">
        <v>-7.21230352168631</v>
      </c>
      <c r="AU61" s="11" t="n">
        <v>79</v>
      </c>
      <c r="AV61" s="10"/>
      <c r="AW61" s="14" t="s">
        <v>89</v>
      </c>
      <c r="AX61" s="14" t="s">
        <v>90</v>
      </c>
      <c r="AY61" s="10" t="n">
        <v>-4.40866685463504</v>
      </c>
      <c r="AZ61" s="10" t="n">
        <v>95.591333145365</v>
      </c>
      <c r="BA61" s="11" t="n">
        <v>74</v>
      </c>
      <c r="BB61" s="14" t="s">
        <v>91</v>
      </c>
      <c r="BC61" s="10"/>
      <c r="BD61" s="11"/>
      <c r="BE61" s="14" t="s">
        <v>92</v>
      </c>
      <c r="BF61" s="10" t="n">
        <v>0.00828908503488326</v>
      </c>
      <c r="BG61" s="11" t="n">
        <v>62</v>
      </c>
      <c r="BH61" s="11" t="n">
        <v>12</v>
      </c>
      <c r="BI61" s="11" t="n">
        <v>12</v>
      </c>
      <c r="BJ61" s="11" t="n">
        <v>0</v>
      </c>
      <c r="BK61" s="10"/>
      <c r="BL61" s="14" t="s">
        <v>93</v>
      </c>
      <c r="BM61" s="15" t="n">
        <f aca="false">(F61-'Ensemble Parameters'!$B$20)/'Ensemble Parameters'!$C$20</f>
        <v>-0.318043452909379</v>
      </c>
      <c r="BN61" s="15" t="n">
        <f aca="false">(L61-'Ensemble Parameters'!$B$21)/'Ensemble Parameters'!$C$21</f>
        <v>-0.404747336390716</v>
      </c>
      <c r="BO61" s="15" t="n">
        <f aca="false">(S61-'Ensemble Parameters'!$B$22)/'Ensemble Parameters'!$C$22</f>
        <v>-0.0992689814534842</v>
      </c>
      <c r="BP61" s="15" t="n">
        <f aca="false">(W61-'Ensemble Parameters'!$B$23)/'Ensemble Parameters'!$C$23</f>
        <v>-0.0188655234833681</v>
      </c>
      <c r="BQ61" s="15" t="n">
        <f aca="false">AVERAGE(BO61:BP61)</f>
        <v>-0.0590672524684261</v>
      </c>
      <c r="BR61" s="15" t="n">
        <f aca="false">(AQ61-'Ensemble Parameters'!$B$24)/'Ensemble Parameters'!$C$24</f>
        <v>-0.553316415187643</v>
      </c>
      <c r="BS61" s="15" t="n">
        <f aca="false">BM61*'Ensemble Parameters'!$B$5+BN61*'Ensemble Parameters'!$B$6+BQ61*'Ensemble Parameters'!$B$8+BR61*'Ensemble Parameters'!$B$7</f>
        <v>-0.333793614239041</v>
      </c>
      <c r="BT61" s="16" t="n">
        <f aca="false">'Ensemble Parameters'!$B$11+'Ensemble Parameters'!$B$12*BS61</f>
        <v>96.6620638576096</v>
      </c>
      <c r="BU61" s="17" t="n">
        <f aca="false">'Ensemble Parameters'!$B$13*BS61</f>
        <v>-4.67311059934658</v>
      </c>
      <c r="BV61" s="18" t="n">
        <f aca="false">RANK(BT61,$BT$5:$BT$125,0)</f>
        <v>60</v>
      </c>
      <c r="BW61" s="15" t="n">
        <f aca="false">STDEV(BM61,BN61,BQ61,BR61)</f>
        <v>0.207322078143425</v>
      </c>
      <c r="BX61" s="19" t="str">
        <f aca="false">IF(BW61&lt;'Ensemble Parameters'!$B$14,"High",IF(BW61&lt;'Ensemble Parameters'!$B$15,"Moderate","Low"))</f>
        <v>High</v>
      </c>
      <c r="BY61" s="19" t="str">
        <f aca="false">IF(BX61="Low","REVIEW — MODEL DISAGREEMENT","")</f>
        <v/>
      </c>
      <c r="BZ61" s="20" t="n">
        <v>4</v>
      </c>
    </row>
    <row r="62" customFormat="false" ht="15" hidden="false" customHeight="true" outlineLevel="0" collapsed="false">
      <c r="A62" s="7" t="s">
        <v>177</v>
      </c>
      <c r="B62" s="7" t="s">
        <v>203</v>
      </c>
      <c r="C62" s="7" t="s">
        <v>204</v>
      </c>
      <c r="D62" s="7" t="n">
        <v>49</v>
      </c>
      <c r="E62" s="7" t="s">
        <v>204</v>
      </c>
      <c r="F62" s="8" t="n">
        <v>31.349181972</v>
      </c>
      <c r="G62" s="9" t="n">
        <v>18</v>
      </c>
      <c r="H62" s="8" t="n">
        <v>4.28672395248723</v>
      </c>
      <c r="I62" s="8" t="n">
        <v>18.4890101145383</v>
      </c>
      <c r="J62" s="7" t="s">
        <v>83</v>
      </c>
      <c r="K62" s="7" t="s">
        <v>84</v>
      </c>
      <c r="L62" s="8" t="n">
        <v>10.8963776239508</v>
      </c>
      <c r="M62" s="8" t="n">
        <v>110.896377623951</v>
      </c>
      <c r="N62" s="9" t="n">
        <v>22</v>
      </c>
      <c r="O62" s="8" t="n">
        <v>0.545380952380952</v>
      </c>
      <c r="P62" s="8" t="n">
        <v>0.726095238095239</v>
      </c>
      <c r="Q62" s="7" t="s">
        <v>85</v>
      </c>
      <c r="R62" s="1" t="s">
        <v>86</v>
      </c>
      <c r="S62" s="10" t="n">
        <v>0.62625</v>
      </c>
      <c r="T62" s="11" t="n">
        <v>22</v>
      </c>
      <c r="U62" s="10" t="n">
        <v>0.629259</v>
      </c>
      <c r="V62" s="11" t="n">
        <v>21</v>
      </c>
      <c r="W62" s="10" t="n">
        <v>0.60065</v>
      </c>
      <c r="X62" s="11" t="n">
        <v>24</v>
      </c>
      <c r="Y62" s="10" t="n">
        <v>0.60593445105</v>
      </c>
      <c r="Z62" s="11" t="n">
        <v>21</v>
      </c>
      <c r="AA62" s="10" t="n">
        <v>0.7324</v>
      </c>
      <c r="AB62" s="10" t="n">
        <v>0.6123</v>
      </c>
      <c r="AC62" s="10" t="n">
        <v>0.4986</v>
      </c>
      <c r="AD62" s="10" t="n">
        <v>0.647</v>
      </c>
      <c r="AE62" s="10" t="n">
        <v>0.325</v>
      </c>
      <c r="AF62" s="10" t="n">
        <v>0.6601</v>
      </c>
      <c r="AG62" s="12" t="n">
        <v>22.54</v>
      </c>
      <c r="AH62" s="11" t="n">
        <v>-1</v>
      </c>
      <c r="AI62" s="1" t="s">
        <v>87</v>
      </c>
      <c r="AJ62" s="12" t="n">
        <v>8.1</v>
      </c>
      <c r="AK62" s="12" t="n">
        <v>7.57</v>
      </c>
      <c r="AL62" s="12" t="n">
        <v>5.71</v>
      </c>
      <c r="AM62" s="13" t="n">
        <v>23.0348914672492</v>
      </c>
      <c r="AN62" s="11" t="n">
        <v>22</v>
      </c>
      <c r="AO62" s="11" t="n">
        <v>13</v>
      </c>
      <c r="AP62" s="14" t="s">
        <v>88</v>
      </c>
      <c r="AQ62" s="13" t="n">
        <v>16.1244240270744</v>
      </c>
      <c r="AR62" s="11" t="n">
        <v>22</v>
      </c>
      <c r="AS62" s="13" t="n">
        <v>-1.53367054595298</v>
      </c>
      <c r="AT62" s="13" t="n">
        <v>14.5907534811214</v>
      </c>
      <c r="AU62" s="11" t="n">
        <v>22</v>
      </c>
      <c r="AV62" s="10"/>
      <c r="AW62" s="14" t="s">
        <v>89</v>
      </c>
      <c r="AX62" s="14" t="s">
        <v>90</v>
      </c>
      <c r="AY62" s="10" t="n">
        <v>12.1194321694054</v>
      </c>
      <c r="AZ62" s="10" t="n">
        <v>112.119432169405</v>
      </c>
      <c r="BA62" s="11" t="n">
        <v>22</v>
      </c>
      <c r="BB62" s="14" t="s">
        <v>91</v>
      </c>
      <c r="BC62" s="10"/>
      <c r="BD62" s="11"/>
      <c r="BE62" s="14" t="s">
        <v>92</v>
      </c>
      <c r="BF62" s="10" t="n">
        <v>0.00830744328450677</v>
      </c>
      <c r="BG62" s="11" t="n">
        <v>36</v>
      </c>
      <c r="BH62" s="11" t="n">
        <v>12</v>
      </c>
      <c r="BI62" s="11" t="n">
        <v>12</v>
      </c>
      <c r="BJ62" s="11" t="n">
        <v>0</v>
      </c>
      <c r="BK62" s="10"/>
      <c r="BL62" s="14" t="s">
        <v>93</v>
      </c>
      <c r="BM62" s="15" t="n">
        <f aca="false">(F62-'Ensemble Parameters'!$B$20)/'Ensemble Parameters'!$C$20</f>
        <v>1.42219527818573</v>
      </c>
      <c r="BN62" s="15" t="n">
        <f aca="false">(L62-'Ensemble Parameters'!$B$21)/'Ensemble Parameters'!$C$21</f>
        <v>1.14216853834005</v>
      </c>
      <c r="BO62" s="15" t="n">
        <f aca="false">(S62-'Ensemble Parameters'!$B$22)/'Ensemble Parameters'!$C$22</f>
        <v>1.03435856689862</v>
      </c>
      <c r="BP62" s="15" t="n">
        <f aca="false">(W62-'Ensemble Parameters'!$B$23)/'Ensemble Parameters'!$C$23</f>
        <v>0.878179616878278</v>
      </c>
      <c r="BQ62" s="15" t="n">
        <f aca="false">AVERAGE(BO62:BP62)</f>
        <v>0.95626909188845</v>
      </c>
      <c r="BR62" s="15" t="n">
        <f aca="false">(AQ62-'Ensemble Parameters'!$B$24)/'Ensemble Parameters'!$C$24</f>
        <v>1.0755915206168</v>
      </c>
      <c r="BS62" s="15" t="n">
        <f aca="false">BM62*'Ensemble Parameters'!$B$5+BN62*'Ensemble Parameters'!$B$6+BQ62*'Ensemble Parameters'!$B$8+BR62*'Ensemble Parameters'!$B$7</f>
        <v>1.14905610725776</v>
      </c>
      <c r="BT62" s="16" t="n">
        <f aca="false">'Ensemble Parameters'!$B$11+'Ensemble Parameters'!$B$12*BS62</f>
        <v>111.490561072578</v>
      </c>
      <c r="BU62" s="17" t="n">
        <f aca="false">'Ensemble Parameters'!$B$13*BS62</f>
        <v>16.0867855016086</v>
      </c>
      <c r="BV62" s="18" t="n">
        <f aca="false">RANK(BT62,$BT$5:$BT$125,0)</f>
        <v>22</v>
      </c>
      <c r="BW62" s="15" t="n">
        <f aca="false">STDEV(BM62,BN62,BQ62,BR62)</f>
        <v>0.197666658869713</v>
      </c>
      <c r="BX62" s="19" t="str">
        <f aca="false">IF(BW62&lt;'Ensemble Parameters'!$B$14,"High",IF(BW62&lt;'Ensemble Parameters'!$B$15,"Moderate","Low"))</f>
        <v>High</v>
      </c>
      <c r="BY62" s="19" t="str">
        <f aca="false">IF(BX62="Low","REVIEW — MODEL DISAGREEMENT","")</f>
        <v/>
      </c>
      <c r="BZ62" s="20" t="n">
        <v>4</v>
      </c>
    </row>
    <row r="63" customFormat="false" ht="15" hidden="false" customHeight="true" outlineLevel="0" collapsed="false">
      <c r="A63" s="7" t="s">
        <v>177</v>
      </c>
      <c r="B63" s="7" t="s">
        <v>205</v>
      </c>
      <c r="C63" s="7" t="s">
        <v>206</v>
      </c>
      <c r="D63" s="7" t="n">
        <v>50</v>
      </c>
      <c r="E63" s="7" t="s">
        <v>206</v>
      </c>
      <c r="F63" s="8" t="n">
        <v>18.623399084</v>
      </c>
      <c r="G63" s="9" t="n">
        <v>119</v>
      </c>
      <c r="H63" s="8" t="n">
        <v>4.42174432488054</v>
      </c>
      <c r="I63" s="8" t="n">
        <v>5.35816610935837</v>
      </c>
      <c r="J63" s="7" t="s">
        <v>83</v>
      </c>
      <c r="K63" s="7" t="s">
        <v>84</v>
      </c>
      <c r="L63" s="8" t="n">
        <v>-5.91213219572575</v>
      </c>
      <c r="M63" s="8" t="n">
        <v>94.0878678042743</v>
      </c>
      <c r="N63" s="9" t="n">
        <v>86</v>
      </c>
      <c r="O63" s="8" t="n">
        <v>0.597866666666667</v>
      </c>
      <c r="P63" s="8" t="n">
        <v>1.56586666666667</v>
      </c>
      <c r="Q63" s="7" t="s">
        <v>85</v>
      </c>
      <c r="R63" s="1" t="s">
        <v>86</v>
      </c>
      <c r="S63" s="10" t="n">
        <v>0.359387</v>
      </c>
      <c r="T63" s="11" t="n">
        <v>93</v>
      </c>
      <c r="U63" s="10" t="n">
        <v>0.363504</v>
      </c>
      <c r="V63" s="11" t="n">
        <v>90</v>
      </c>
      <c r="W63" s="10" t="n">
        <v>0.4022</v>
      </c>
      <c r="X63" s="11" t="n">
        <v>89</v>
      </c>
      <c r="Y63" s="10" t="n">
        <v>0.4025111115</v>
      </c>
      <c r="Z63" s="11" t="n">
        <v>90</v>
      </c>
      <c r="AA63" s="10" t="n">
        <v>0.0464</v>
      </c>
      <c r="AB63" s="10" t="n">
        <v>0.5638</v>
      </c>
      <c r="AC63" s="10" t="n">
        <v>0.4708</v>
      </c>
      <c r="AD63" s="10" t="n">
        <v>0.555</v>
      </c>
      <c r="AE63" s="10" t="n">
        <v>1</v>
      </c>
      <c r="AF63" s="10" t="n">
        <v>0.4057</v>
      </c>
      <c r="AG63" s="12" t="n">
        <v>16.15</v>
      </c>
      <c r="AH63" s="11" t="n">
        <v>-3</v>
      </c>
      <c r="AI63" s="1" t="s">
        <v>87</v>
      </c>
      <c r="AJ63" s="12" t="n">
        <v>3.73</v>
      </c>
      <c r="AK63" s="12" t="n">
        <v>4.33</v>
      </c>
      <c r="AL63" s="12" t="n">
        <v>6.51</v>
      </c>
      <c r="AM63" s="13" t="n">
        <v>-12.8155412352763</v>
      </c>
      <c r="AN63" s="11" t="n">
        <v>84</v>
      </c>
      <c r="AO63" s="11" t="n">
        <v>12</v>
      </c>
      <c r="AP63" s="14" t="s">
        <v>88</v>
      </c>
      <c r="AQ63" s="13" t="n">
        <v>-8.97087886469341</v>
      </c>
      <c r="AR63" s="11" t="n">
        <v>86</v>
      </c>
      <c r="AS63" s="13" t="n">
        <v>1.95854739955818</v>
      </c>
      <c r="AT63" s="13" t="n">
        <v>-7.01233146513523</v>
      </c>
      <c r="AU63" s="11" t="n">
        <v>77</v>
      </c>
      <c r="AV63" s="10"/>
      <c r="AW63" s="14" t="s">
        <v>89</v>
      </c>
      <c r="AX63" s="14" t="s">
        <v>90</v>
      </c>
      <c r="AY63" s="10" t="n">
        <v>-6.72427765027121</v>
      </c>
      <c r="AZ63" s="10" t="n">
        <v>93.2757223497288</v>
      </c>
      <c r="BA63" s="11" t="n">
        <v>87</v>
      </c>
      <c r="BB63" s="14" t="s">
        <v>91</v>
      </c>
      <c r="BC63" s="10"/>
      <c r="BD63" s="11"/>
      <c r="BE63" s="14" t="s">
        <v>92</v>
      </c>
      <c r="BF63" s="10" t="n">
        <v>0.00886642851962337</v>
      </c>
      <c r="BG63" s="11" t="n">
        <v>1</v>
      </c>
      <c r="BH63" s="11" t="n">
        <v>13</v>
      </c>
      <c r="BI63" s="11" t="n">
        <v>13</v>
      </c>
      <c r="BJ63" s="11" t="n">
        <v>0</v>
      </c>
      <c r="BK63" s="10"/>
      <c r="BL63" s="14" t="s">
        <v>93</v>
      </c>
      <c r="BM63" s="15" t="n">
        <f aca="false">(F63-'Ensemble Parameters'!$B$20)/'Ensemble Parameters'!$C$20</f>
        <v>-1.4970387409544</v>
      </c>
      <c r="BN63" s="15" t="n">
        <f aca="false">(L63-'Ensemble Parameters'!$B$21)/'Ensemble Parameters'!$C$21</f>
        <v>-0.619715250472098</v>
      </c>
      <c r="BO63" s="15" t="n">
        <f aca="false">(S63-'Ensemble Parameters'!$B$22)/'Ensemble Parameters'!$C$22</f>
        <v>-0.826647273663193</v>
      </c>
      <c r="BP63" s="15" t="n">
        <f aca="false">(W63-'Ensemble Parameters'!$B$23)/'Ensemble Parameters'!$C$23</f>
        <v>-0.676771757579238</v>
      </c>
      <c r="BQ63" s="15" t="n">
        <f aca="false">AVERAGE(BO63:BP63)</f>
        <v>-0.751709515621215</v>
      </c>
      <c r="BR63" s="15" t="n">
        <f aca="false">(AQ63-'Ensemble Parameters'!$B$24)/'Ensemble Parameters'!$C$24</f>
        <v>-0.589570196493183</v>
      </c>
      <c r="BS63" s="15" t="n">
        <f aca="false">BM63*'Ensemble Parameters'!$B$5+BN63*'Ensemble Parameters'!$B$6+BQ63*'Ensemble Parameters'!$B$8+BR63*'Ensemble Parameters'!$B$7</f>
        <v>-0.864508425885224</v>
      </c>
      <c r="BT63" s="16" t="n">
        <f aca="false">'Ensemble Parameters'!$B$11+'Ensemble Parameters'!$B$12*BS63</f>
        <v>91.3549157411478</v>
      </c>
      <c r="BU63" s="17" t="n">
        <f aca="false">'Ensemble Parameters'!$B$13*BS63</f>
        <v>-12.1031179623931</v>
      </c>
      <c r="BV63" s="18" t="n">
        <f aca="false">RANK(BT63,$BT$5:$BT$125,0)</f>
        <v>104</v>
      </c>
      <c r="BW63" s="15" t="n">
        <f aca="false">STDEV(BM63,BN63,BQ63,BR63)</f>
        <v>0.427525017727356</v>
      </c>
      <c r="BX63" s="19" t="str">
        <f aca="false">IF(BW63&lt;'Ensemble Parameters'!$B$14,"High",IF(BW63&lt;'Ensemble Parameters'!$B$15,"Moderate","Low"))</f>
        <v>Moderate</v>
      </c>
      <c r="BY63" s="19" t="str">
        <f aca="false">IF(BX63="Low","REVIEW — MODEL DISAGREEMENT","")</f>
        <v/>
      </c>
      <c r="BZ63" s="20" t="n">
        <v>4</v>
      </c>
    </row>
    <row r="64" customFormat="false" ht="15" hidden="false" customHeight="true" outlineLevel="0" collapsed="false">
      <c r="A64" s="7" t="s">
        <v>207</v>
      </c>
      <c r="B64" s="7" t="s">
        <v>208</v>
      </c>
      <c r="C64" s="7" t="s">
        <v>209</v>
      </c>
      <c r="D64" s="7" t="n">
        <v>17</v>
      </c>
      <c r="E64" s="7" t="s">
        <v>209</v>
      </c>
      <c r="F64" s="8" t="n">
        <v>31.289612553</v>
      </c>
      <c r="G64" s="9" t="n">
        <v>19</v>
      </c>
      <c r="H64" s="8" t="n">
        <v>4.33591100321897</v>
      </c>
      <c r="I64" s="8" t="n">
        <v>18.2818795433431</v>
      </c>
      <c r="J64" s="7" t="s">
        <v>83</v>
      </c>
      <c r="K64" s="7" t="s">
        <v>84</v>
      </c>
      <c r="L64" s="8" t="n">
        <v>14.1887963936606</v>
      </c>
      <c r="M64" s="8" t="n">
        <v>114.188796393661</v>
      </c>
      <c r="N64" s="9" t="n">
        <v>18</v>
      </c>
      <c r="O64" s="8" t="n">
        <v>0.541780952380953</v>
      </c>
      <c r="P64" s="8" t="n">
        <v>0.66849523809524</v>
      </c>
      <c r="Q64" s="7" t="s">
        <v>85</v>
      </c>
      <c r="R64" s="1" t="s">
        <v>86</v>
      </c>
      <c r="S64" s="10" t="n">
        <v>0.633241</v>
      </c>
      <c r="T64" s="11" t="n">
        <v>21</v>
      </c>
      <c r="U64" s="10" t="n">
        <v>0.630989</v>
      </c>
      <c r="V64" s="11" t="n">
        <v>22</v>
      </c>
      <c r="W64" s="10" t="n">
        <v>0.61921</v>
      </c>
      <c r="X64" s="11" t="n">
        <v>23</v>
      </c>
      <c r="Y64" s="10" t="n">
        <v>0.61820466541</v>
      </c>
      <c r="Z64" s="11" t="n">
        <v>22</v>
      </c>
      <c r="AA64" s="10" t="n">
        <v>0.7533</v>
      </c>
      <c r="AB64" s="10" t="n">
        <v>0.4544</v>
      </c>
      <c r="AC64" s="10" t="n">
        <v>0.4987</v>
      </c>
      <c r="AD64" s="10" t="n">
        <v>0.55</v>
      </c>
      <c r="AE64" s="10" t="n">
        <v>0.85</v>
      </c>
      <c r="AF64" s="10" t="n">
        <v>0.6079</v>
      </c>
      <c r="AG64" s="12" t="n">
        <v>22.56</v>
      </c>
      <c r="AH64" s="11" t="n">
        <v>1</v>
      </c>
      <c r="AI64" s="1" t="s">
        <v>87</v>
      </c>
      <c r="AJ64" s="12" t="n">
        <v>8.02</v>
      </c>
      <c r="AK64" s="12" t="n">
        <v>7.68</v>
      </c>
      <c r="AL64" s="12" t="n">
        <v>6.93</v>
      </c>
      <c r="AM64" s="13" t="n">
        <v>36.8257846777267</v>
      </c>
      <c r="AN64" s="11" t="n">
        <v>15</v>
      </c>
      <c r="AO64" s="11" t="n">
        <v>13</v>
      </c>
      <c r="AP64" s="14" t="s">
        <v>88</v>
      </c>
      <c r="AQ64" s="13" t="n">
        <v>25.7780492744087</v>
      </c>
      <c r="AR64" s="11" t="n">
        <v>15</v>
      </c>
      <c r="AS64" s="13" t="n">
        <v>-1.34468501105205</v>
      </c>
      <c r="AT64" s="13" t="n">
        <v>24.4333642633567</v>
      </c>
      <c r="AU64" s="11" t="n">
        <v>15</v>
      </c>
      <c r="AV64" s="10"/>
      <c r="AW64" s="14" t="s">
        <v>89</v>
      </c>
      <c r="AX64" s="14" t="s">
        <v>90</v>
      </c>
      <c r="AY64" s="10" t="n">
        <v>14.9942509391151</v>
      </c>
      <c r="AZ64" s="10" t="n">
        <v>114.994250939115</v>
      </c>
      <c r="BA64" s="11" t="n">
        <v>19</v>
      </c>
      <c r="BB64" s="14" t="s">
        <v>91</v>
      </c>
      <c r="BC64" s="10"/>
      <c r="BD64" s="11"/>
      <c r="BE64" s="14" t="s">
        <v>92</v>
      </c>
      <c r="BF64" s="10" t="n">
        <v>0.00829986742576952</v>
      </c>
      <c r="BG64" s="11" t="n">
        <v>47</v>
      </c>
      <c r="BH64" s="11" t="n">
        <v>12</v>
      </c>
      <c r="BI64" s="11" t="n">
        <v>12</v>
      </c>
      <c r="BJ64" s="11" t="n">
        <v>0</v>
      </c>
      <c r="BK64" s="10"/>
      <c r="BL64" s="14" t="s">
        <v>93</v>
      </c>
      <c r="BM64" s="15" t="n">
        <f aca="false">(F64-'Ensemble Parameters'!$B$20)/'Ensemble Parameters'!$C$20</f>
        <v>1.40853033702056</v>
      </c>
      <c r="BN64" s="15" t="n">
        <f aca="false">(L64-'Ensemble Parameters'!$B$21)/'Ensemble Parameters'!$C$21</f>
        <v>1.48728296660078</v>
      </c>
      <c r="BO64" s="15" t="n">
        <f aca="false">(S64-'Ensemble Parameters'!$B$22)/'Ensemble Parameters'!$C$22</f>
        <v>1.08311126709073</v>
      </c>
      <c r="BP64" s="15" t="n">
        <f aca="false">(W64-'Ensemble Parameters'!$B$23)/'Ensemble Parameters'!$C$23</f>
        <v>1.0236061601382</v>
      </c>
      <c r="BQ64" s="15" t="n">
        <f aca="false">AVERAGE(BO64:BP64)</f>
        <v>1.05335871361447</v>
      </c>
      <c r="BR64" s="15" t="n">
        <f aca="false">(AQ64-'Ensemble Parameters'!$B$24)/'Ensemble Parameters'!$C$24</f>
        <v>1.71614354991551</v>
      </c>
      <c r="BS64" s="15" t="n">
        <f aca="false">BM64*'Ensemble Parameters'!$B$5+BN64*'Ensemble Parameters'!$B$6+BQ64*'Ensemble Parameters'!$B$8+BR64*'Ensemble Parameters'!$B$7</f>
        <v>1.41632889178783</v>
      </c>
      <c r="BT64" s="16" t="n">
        <f aca="false">'Ensemble Parameters'!$B$11+'Ensemble Parameters'!$B$12*BS64</f>
        <v>114.163288917878</v>
      </c>
      <c r="BU64" s="17" t="n">
        <f aca="false">'Ensemble Parameters'!$B$13*BS64</f>
        <v>19.8286044850296</v>
      </c>
      <c r="BV64" s="18" t="n">
        <f aca="false">RANK(BT64,$BT$5:$BT$125,0)</f>
        <v>18</v>
      </c>
      <c r="BW64" s="15" t="n">
        <f aca="false">STDEV(BM64,BN64,BQ64,BR64)</f>
        <v>0.274913003003034</v>
      </c>
      <c r="BX64" s="19" t="str">
        <f aca="false">IF(BW64&lt;'Ensemble Parameters'!$B$14,"High",IF(BW64&lt;'Ensemble Parameters'!$B$15,"Moderate","Low"))</f>
        <v>High</v>
      </c>
      <c r="BY64" s="19" t="str">
        <f aca="false">IF(BX64="Low","REVIEW — MODEL DISAGREEMENT","")</f>
        <v/>
      </c>
      <c r="BZ64" s="20" t="n">
        <v>4</v>
      </c>
    </row>
    <row r="65" customFormat="false" ht="15" hidden="false" customHeight="true" outlineLevel="0" collapsed="false">
      <c r="A65" s="7" t="s">
        <v>207</v>
      </c>
      <c r="B65" s="7" t="s">
        <v>210</v>
      </c>
      <c r="C65" s="7" t="s">
        <v>211</v>
      </c>
      <c r="D65" s="7" t="n">
        <v>18</v>
      </c>
      <c r="E65" s="7" t="s">
        <v>211</v>
      </c>
      <c r="F65" s="8" t="n">
        <v>37.732540751</v>
      </c>
      <c r="G65" s="9" t="n">
        <v>1</v>
      </c>
      <c r="H65" s="8" t="n">
        <v>4.3399089611031</v>
      </c>
      <c r="I65" s="8" t="n">
        <v>24.7128138676907</v>
      </c>
      <c r="J65" s="7" t="s">
        <v>83</v>
      </c>
      <c r="K65" s="7" t="s">
        <v>84</v>
      </c>
      <c r="L65" s="8" t="n">
        <v>20.0778389771333</v>
      </c>
      <c r="M65" s="8" t="n">
        <v>120.077838977133</v>
      </c>
      <c r="N65" s="9" t="n">
        <v>6</v>
      </c>
      <c r="O65" s="8" t="n">
        <v>0.603038095238095</v>
      </c>
      <c r="P65" s="8" t="n">
        <v>1.64860952380952</v>
      </c>
      <c r="Q65" s="7" t="s">
        <v>85</v>
      </c>
      <c r="R65" s="1" t="s">
        <v>86</v>
      </c>
      <c r="S65" s="10" t="n">
        <v>0.767382</v>
      </c>
      <c r="T65" s="11" t="n">
        <v>6</v>
      </c>
      <c r="U65" s="10" t="n">
        <v>0.775899</v>
      </c>
      <c r="V65" s="11" t="n">
        <v>5</v>
      </c>
      <c r="W65" s="10" t="n">
        <v>0.74397</v>
      </c>
      <c r="X65" s="11" t="n">
        <v>6</v>
      </c>
      <c r="Y65" s="10" t="n">
        <v>0.75456823547</v>
      </c>
      <c r="Z65" s="11" t="n">
        <v>5</v>
      </c>
      <c r="AA65" s="10" t="n">
        <v>0.9831</v>
      </c>
      <c r="AB65" s="10" t="n">
        <v>0.5153</v>
      </c>
      <c r="AC65" s="10" t="n">
        <v>0.5829</v>
      </c>
      <c r="AD65" s="10" t="n">
        <v>0.511</v>
      </c>
      <c r="AE65" s="10" t="n">
        <v>1</v>
      </c>
      <c r="AF65" s="10" t="n">
        <v>0.8632</v>
      </c>
      <c r="AG65" s="12" t="n">
        <v>48.38</v>
      </c>
      <c r="AH65" s="11" t="n">
        <v>-1</v>
      </c>
      <c r="AI65" s="1" t="s">
        <v>87</v>
      </c>
      <c r="AJ65" s="12" t="n">
        <v>9.77</v>
      </c>
      <c r="AK65" s="12" t="n">
        <v>9.46</v>
      </c>
      <c r="AL65" s="12" t="n">
        <v>8.75</v>
      </c>
      <c r="AM65" s="13" t="n">
        <v>51.4344082338838</v>
      </c>
      <c r="AN65" s="11" t="n">
        <v>3</v>
      </c>
      <c r="AO65" s="11" t="n">
        <v>16</v>
      </c>
      <c r="AP65" s="14" t="s">
        <v>88</v>
      </c>
      <c r="AQ65" s="13" t="n">
        <v>36.0040857637187</v>
      </c>
      <c r="AR65" s="11" t="n">
        <v>3</v>
      </c>
      <c r="AS65" s="13" t="n">
        <v>-1.13882458176164</v>
      </c>
      <c r="AT65" s="13" t="n">
        <v>34.865261181957</v>
      </c>
      <c r="AU65" s="11" t="n">
        <v>4</v>
      </c>
      <c r="AV65" s="10"/>
      <c r="AW65" s="14" t="s">
        <v>89</v>
      </c>
      <c r="AX65" s="14" t="s">
        <v>90</v>
      </c>
      <c r="AY65" s="10" t="n">
        <v>22.9256935225878</v>
      </c>
      <c r="AZ65" s="10" t="n">
        <v>122.925693522588</v>
      </c>
      <c r="BA65" s="11" t="n">
        <v>5</v>
      </c>
      <c r="BB65" s="14" t="s">
        <v>91</v>
      </c>
      <c r="BC65" s="10"/>
      <c r="BD65" s="11"/>
      <c r="BE65" s="14" t="s">
        <v>92</v>
      </c>
      <c r="BF65" s="10" t="n">
        <v>0.00831298223362576</v>
      </c>
      <c r="BG65" s="11" t="n">
        <v>33</v>
      </c>
      <c r="BH65" s="11" t="n">
        <v>12</v>
      </c>
      <c r="BI65" s="11" t="n">
        <v>12</v>
      </c>
      <c r="BJ65" s="11" t="n">
        <v>0</v>
      </c>
      <c r="BK65" s="10"/>
      <c r="BL65" s="14" t="s">
        <v>93</v>
      </c>
      <c r="BM65" s="15" t="n">
        <f aca="false">(F65-'Ensemble Parameters'!$B$20)/'Ensemble Parameters'!$C$20</f>
        <v>2.88650739697924</v>
      </c>
      <c r="BN65" s="15" t="n">
        <f aca="false">(L65-'Ensemble Parameters'!$B$21)/'Ensemble Parameters'!$C$21</f>
        <v>2.10457794222668</v>
      </c>
      <c r="BO65" s="15" t="n">
        <f aca="false">(S65-'Ensemble Parameters'!$B$22)/'Ensemble Parameters'!$C$22</f>
        <v>2.01856198322149</v>
      </c>
      <c r="BP65" s="15" t="n">
        <f aca="false">(W65-'Ensemble Parameters'!$B$23)/'Ensemble Parameters'!$C$23</f>
        <v>2.0011608765772</v>
      </c>
      <c r="BQ65" s="15" t="n">
        <f aca="false">AVERAGE(BO65:BP65)</f>
        <v>2.00986142989935</v>
      </c>
      <c r="BR65" s="15" t="n">
        <f aca="false">(AQ65-'Ensemble Parameters'!$B$24)/'Ensemble Parameters'!$C$24</f>
        <v>2.39467708080007</v>
      </c>
      <c r="BS65" s="15" t="n">
        <f aca="false">BM65*'Ensemble Parameters'!$B$5+BN65*'Ensemble Parameters'!$B$6+BQ65*'Ensemble Parameters'!$B$8+BR65*'Ensemble Parameters'!$B$7</f>
        <v>2.34890596247634</v>
      </c>
      <c r="BT65" s="16" t="n">
        <f aca="false">'Ensemble Parameters'!$B$11+'Ensemble Parameters'!$B$12*BS65</f>
        <v>123.489059624763</v>
      </c>
      <c r="BU65" s="17" t="n">
        <f aca="false">'Ensemble Parameters'!$B$13*BS65</f>
        <v>32.8846834746687</v>
      </c>
      <c r="BV65" s="18" t="n">
        <f aca="false">RANK(BT65,$BT$5:$BT$125,0)</f>
        <v>1</v>
      </c>
      <c r="BW65" s="15" t="n">
        <f aca="false">STDEV(BM65,BN65,BQ65,BR65)</f>
        <v>0.394021012215362</v>
      </c>
      <c r="BX65" s="19" t="str">
        <f aca="false">IF(BW65&lt;'Ensemble Parameters'!$B$14,"High",IF(BW65&lt;'Ensemble Parameters'!$B$15,"Moderate","Low"))</f>
        <v>Moderate</v>
      </c>
      <c r="BY65" s="19" t="str">
        <f aca="false">IF(BX65="Low","REVIEW — MODEL DISAGREEMENT","")</f>
        <v/>
      </c>
      <c r="BZ65" s="20" t="n">
        <v>4</v>
      </c>
    </row>
    <row r="66" customFormat="false" ht="15" hidden="false" customHeight="true" outlineLevel="0" collapsed="false">
      <c r="A66" s="7" t="s">
        <v>207</v>
      </c>
      <c r="B66" s="7" t="s">
        <v>212</v>
      </c>
      <c r="C66" s="7" t="s">
        <v>213</v>
      </c>
      <c r="D66" s="7" t="n">
        <v>19</v>
      </c>
      <c r="E66" s="7" t="s">
        <v>213</v>
      </c>
      <c r="F66" s="8" t="n">
        <v>31.950073963</v>
      </c>
      <c r="G66" s="9" t="n">
        <v>14</v>
      </c>
      <c r="H66" s="8" t="n">
        <v>4.27468218309976</v>
      </c>
      <c r="I66" s="8" t="n">
        <v>19.1260274137007</v>
      </c>
      <c r="J66" s="7" t="s">
        <v>83</v>
      </c>
      <c r="K66" s="7" t="s">
        <v>84</v>
      </c>
      <c r="L66" s="8" t="n">
        <v>19.0568472431539</v>
      </c>
      <c r="M66" s="8" t="n">
        <v>119.056847243154</v>
      </c>
      <c r="N66" s="9" t="n">
        <v>10</v>
      </c>
      <c r="O66" s="8" t="n">
        <v>0.551895238095238</v>
      </c>
      <c r="P66" s="8" t="n">
        <v>0.83032380952381</v>
      </c>
      <c r="Q66" s="7" t="s">
        <v>85</v>
      </c>
      <c r="R66" s="1" t="s">
        <v>86</v>
      </c>
      <c r="S66" s="10" t="n">
        <v>0.691483</v>
      </c>
      <c r="T66" s="11" t="n">
        <v>16</v>
      </c>
      <c r="U66" s="10" t="n">
        <v>0.684258</v>
      </c>
      <c r="V66" s="11" t="n">
        <v>17</v>
      </c>
      <c r="W66" s="10" t="n">
        <v>0.66596</v>
      </c>
      <c r="X66" s="11" t="n">
        <v>16</v>
      </c>
      <c r="Y66" s="10" t="n">
        <v>0.66100354936</v>
      </c>
      <c r="Z66" s="11" t="n">
        <v>17</v>
      </c>
      <c r="AA66" s="10" t="n">
        <v>0.8747</v>
      </c>
      <c r="AB66" s="10" t="n">
        <v>0.4077</v>
      </c>
      <c r="AC66" s="10" t="n">
        <v>0.4507</v>
      </c>
      <c r="AD66" s="10" t="n">
        <v>0.656</v>
      </c>
      <c r="AE66" s="10" t="n">
        <v>1</v>
      </c>
      <c r="AF66" s="10" t="n">
        <v>0.6102</v>
      </c>
      <c r="AG66" s="12" t="n">
        <v>12.2</v>
      </c>
      <c r="AH66" s="11" t="n">
        <v>1</v>
      </c>
      <c r="AI66" s="1" t="s">
        <v>87</v>
      </c>
      <c r="AJ66" s="12" t="n">
        <v>8.53</v>
      </c>
      <c r="AK66" s="12" t="n">
        <v>8.11</v>
      </c>
      <c r="AL66" s="12" t="n">
        <v>7.3</v>
      </c>
      <c r="AM66" s="13" t="n">
        <v>49.9228422227304</v>
      </c>
      <c r="AN66" s="11" t="n">
        <v>5</v>
      </c>
      <c r="AO66" s="11" t="n">
        <v>13</v>
      </c>
      <c r="AP66" s="14" t="s">
        <v>88</v>
      </c>
      <c r="AQ66" s="13" t="n">
        <v>34.9459895559113</v>
      </c>
      <c r="AR66" s="11" t="n">
        <v>5</v>
      </c>
      <c r="AS66" s="13" t="n">
        <v>-1.68816205004596</v>
      </c>
      <c r="AT66" s="13" t="n">
        <v>33.2578275058654</v>
      </c>
      <c r="AU66" s="11" t="n">
        <v>7</v>
      </c>
      <c r="AV66" s="10"/>
      <c r="AW66" s="14" t="s">
        <v>89</v>
      </c>
      <c r="AX66" s="14" t="s">
        <v>90</v>
      </c>
      <c r="AY66" s="10" t="n">
        <v>19.8807017886084</v>
      </c>
      <c r="AZ66" s="10" t="n">
        <v>119.880701788608</v>
      </c>
      <c r="BA66" s="11" t="n">
        <v>11</v>
      </c>
      <c r="BB66" s="14" t="s">
        <v>91</v>
      </c>
      <c r="BC66" s="10"/>
      <c r="BD66" s="11"/>
      <c r="BE66" s="14" t="s">
        <v>92</v>
      </c>
      <c r="BF66" s="10" t="n">
        <v>0.00830118557597257</v>
      </c>
      <c r="BG66" s="11" t="n">
        <v>43</v>
      </c>
      <c r="BH66" s="11" t="n">
        <v>12</v>
      </c>
      <c r="BI66" s="11" t="n">
        <v>12</v>
      </c>
      <c r="BJ66" s="11" t="n">
        <v>0</v>
      </c>
      <c r="BK66" s="10"/>
      <c r="BL66" s="14" t="s">
        <v>93</v>
      </c>
      <c r="BM66" s="15" t="n">
        <f aca="false">(F66-'Ensemble Parameters'!$B$20)/'Ensemble Parameters'!$C$20</f>
        <v>1.560037040645</v>
      </c>
      <c r="BN66" s="15" t="n">
        <f aca="false">(L66-'Ensemble Parameters'!$B$21)/'Ensemble Parameters'!$C$21</f>
        <v>1.99755662957565</v>
      </c>
      <c r="BO66" s="15" t="n">
        <f aca="false">(S66-'Ensemble Parameters'!$B$22)/'Ensemble Parameters'!$C$22</f>
        <v>1.48926986594483</v>
      </c>
      <c r="BP66" s="15" t="n">
        <f aca="false">(W66-'Ensemble Parameters'!$B$23)/'Ensemble Parameters'!$C$23</f>
        <v>1.38991493693784</v>
      </c>
      <c r="BQ66" s="15" t="n">
        <f aca="false">AVERAGE(BO66:BP66)</f>
        <v>1.43959240144134</v>
      </c>
      <c r="BR66" s="15" t="n">
        <f aca="false">(AQ66-'Ensemble Parameters'!$B$24)/'Ensemble Parameters'!$C$24</f>
        <v>2.32446867144717</v>
      </c>
      <c r="BS66" s="15" t="n">
        <f aca="false">BM66*'Ensemble Parameters'!$B$5+BN66*'Ensemble Parameters'!$B$6+BQ66*'Ensemble Parameters'!$B$8+BR66*'Ensemble Parameters'!$B$7</f>
        <v>1.83041368577729</v>
      </c>
      <c r="BT66" s="16" t="n">
        <f aca="false">'Ensemble Parameters'!$B$11+'Ensemble Parameters'!$B$12*BS66</f>
        <v>118.304136857773</v>
      </c>
      <c r="BU66" s="17" t="n">
        <f aca="false">'Ensemble Parameters'!$B$13*BS66</f>
        <v>25.6257916008821</v>
      </c>
      <c r="BV66" s="18" t="n">
        <f aca="false">RANK(BT66,$BT$5:$BT$125,0)</f>
        <v>10</v>
      </c>
      <c r="BW66" s="15" t="n">
        <f aca="false">STDEV(BM66,BN66,BQ66,BR66)</f>
        <v>0.407378570476261</v>
      </c>
      <c r="BX66" s="19" t="str">
        <f aca="false">IF(BW66&lt;'Ensemble Parameters'!$B$14,"High",IF(BW66&lt;'Ensemble Parameters'!$B$15,"Moderate","Low"))</f>
        <v>Moderate</v>
      </c>
      <c r="BY66" s="19" t="str">
        <f aca="false">IF(BX66="Low","REVIEW — MODEL DISAGREEMENT","")</f>
        <v/>
      </c>
      <c r="BZ66" s="20" t="n">
        <v>4</v>
      </c>
    </row>
    <row r="67" customFormat="false" ht="15" hidden="false" customHeight="true" outlineLevel="0" collapsed="false">
      <c r="A67" s="7" t="s">
        <v>207</v>
      </c>
      <c r="B67" s="7" t="s">
        <v>214</v>
      </c>
      <c r="C67" s="7" t="s">
        <v>215</v>
      </c>
      <c r="D67" s="7" t="n">
        <v>20</v>
      </c>
      <c r="E67" s="7" t="s">
        <v>215</v>
      </c>
      <c r="F67" s="8" t="n">
        <v>22.039185059</v>
      </c>
      <c r="G67" s="9" t="n">
        <v>87</v>
      </c>
      <c r="H67" s="8" t="n">
        <v>4.19571797305603</v>
      </c>
      <c r="I67" s="8" t="n">
        <v>9.45203113983193</v>
      </c>
      <c r="J67" s="7" t="s">
        <v>83</v>
      </c>
      <c r="K67" s="7" t="s">
        <v>84</v>
      </c>
      <c r="L67" s="8" t="n">
        <v>-0.0744561913531086</v>
      </c>
      <c r="M67" s="8" t="n">
        <v>99.9255438086469</v>
      </c>
      <c r="N67" s="9" t="n">
        <v>44</v>
      </c>
      <c r="O67" s="8" t="n">
        <v>0.66192380952381</v>
      </c>
      <c r="P67" s="8" t="n">
        <v>2.59078095238095</v>
      </c>
      <c r="Q67" s="7" t="s">
        <v>85</v>
      </c>
      <c r="R67" s="1" t="s">
        <v>86</v>
      </c>
      <c r="S67" s="10" t="n">
        <v>0.495953</v>
      </c>
      <c r="T67" s="11" t="n">
        <v>46</v>
      </c>
      <c r="U67" s="10" t="n">
        <v>0.480828</v>
      </c>
      <c r="V67" s="11" t="n">
        <v>44</v>
      </c>
      <c r="W67" s="10" t="n">
        <v>0.512215</v>
      </c>
      <c r="X67" s="11" t="n">
        <v>46</v>
      </c>
      <c r="Y67" s="10" t="n">
        <v>0.495644757065</v>
      </c>
      <c r="Z67" s="11" t="n">
        <v>44</v>
      </c>
      <c r="AA67" s="10" t="n">
        <v>0.2781</v>
      </c>
      <c r="AB67" s="10" t="n">
        <v>0.7679</v>
      </c>
      <c r="AC67" s="10" t="n">
        <v>0.4612</v>
      </c>
      <c r="AD67" s="10" t="n">
        <v>0.61</v>
      </c>
      <c r="AE67" s="10" t="n">
        <v>0.85</v>
      </c>
      <c r="AF67" s="10" t="n">
        <v>0.3258</v>
      </c>
      <c r="AG67" s="12" t="n">
        <v>14.21</v>
      </c>
      <c r="AH67" s="11" t="n">
        <v>-2</v>
      </c>
      <c r="AI67" s="1" t="s">
        <v>87</v>
      </c>
      <c r="AJ67" s="12" t="n">
        <v>5.73</v>
      </c>
      <c r="AK67" s="12" t="n">
        <v>5.83</v>
      </c>
      <c r="AL67" s="12" t="n">
        <v>6.95</v>
      </c>
      <c r="AM67" s="13" t="n">
        <v>-4.50225704188958</v>
      </c>
      <c r="AN67" s="11" t="n">
        <v>48</v>
      </c>
      <c r="AO67" s="11" t="n">
        <v>12</v>
      </c>
      <c r="AP67" s="14" t="s">
        <v>88</v>
      </c>
      <c r="AQ67" s="13" t="n">
        <v>-3.1515799293227</v>
      </c>
      <c r="AR67" s="11" t="n">
        <v>48</v>
      </c>
      <c r="AS67" s="13" t="n">
        <v>1.79371791197112</v>
      </c>
      <c r="AT67" s="13" t="n">
        <v>-1.35786201735158</v>
      </c>
      <c r="AU67" s="11" t="n">
        <v>45</v>
      </c>
      <c r="AV67" s="10"/>
      <c r="AW67" s="14" t="s">
        <v>89</v>
      </c>
      <c r="AX67" s="14" t="s">
        <v>90</v>
      </c>
      <c r="AY67" s="10" t="n">
        <v>-1.52580164589856</v>
      </c>
      <c r="AZ67" s="10" t="n">
        <v>98.4741983541014</v>
      </c>
      <c r="BA67" s="11" t="n">
        <v>47</v>
      </c>
      <c r="BB67" s="14" t="s">
        <v>91</v>
      </c>
      <c r="BC67" s="10"/>
      <c r="BD67" s="11"/>
      <c r="BE67" s="14" t="s">
        <v>92</v>
      </c>
      <c r="BF67" s="10" t="n">
        <v>0.00830195539423745</v>
      </c>
      <c r="BG67" s="11" t="n">
        <v>42</v>
      </c>
      <c r="BH67" s="11" t="n">
        <v>12</v>
      </c>
      <c r="BI67" s="11" t="n">
        <v>12</v>
      </c>
      <c r="BJ67" s="11" t="n">
        <v>0</v>
      </c>
      <c r="BK67" s="10"/>
      <c r="BL67" s="14" t="s">
        <v>93</v>
      </c>
      <c r="BM67" s="15" t="n">
        <f aca="false">(F67-'Ensemble Parameters'!$B$20)/'Ensemble Parameters'!$C$20</f>
        <v>-0.713473697602566</v>
      </c>
      <c r="BN67" s="15" t="n">
        <f aca="false">(L67-'Ensemble Parameters'!$B$21)/'Ensemble Parameters'!$C$21</f>
        <v>-0.00780456792000505</v>
      </c>
      <c r="BO67" s="15" t="n">
        <f aca="false">(S67-'Ensemble Parameters'!$B$22)/'Ensemble Parameters'!$C$22</f>
        <v>0.125714513554086</v>
      </c>
      <c r="BP67" s="15" t="n">
        <f aca="false">(W67-'Ensemble Parameters'!$B$23)/'Ensemble Parameters'!$C$23</f>
        <v>0.185248778883063</v>
      </c>
      <c r="BQ67" s="15" t="n">
        <f aca="false">AVERAGE(BO67:BP67)</f>
        <v>0.155481646218574</v>
      </c>
      <c r="BR67" s="15" t="n">
        <f aca="false">(AQ67-'Ensemble Parameters'!$B$24)/'Ensemble Parameters'!$C$24</f>
        <v>-0.203439220135177</v>
      </c>
      <c r="BS67" s="15" t="n">
        <f aca="false">BM67*'Ensemble Parameters'!$B$5+BN67*'Ensemble Parameters'!$B$6+BQ67*'Ensemble Parameters'!$B$8+BR67*'Ensemble Parameters'!$B$7</f>
        <v>-0.192308959859793</v>
      </c>
      <c r="BT67" s="16" t="n">
        <f aca="false">'Ensemble Parameters'!$B$11+'Ensemble Parameters'!$B$12*BS67</f>
        <v>98.0769104014021</v>
      </c>
      <c r="BU67" s="17" t="n">
        <f aca="false">'Ensemble Parameters'!$B$13*BS67</f>
        <v>-2.69232543803711</v>
      </c>
      <c r="BV67" s="18" t="n">
        <f aca="false">RANK(BT67,$BT$5:$BT$125,0)</f>
        <v>53</v>
      </c>
      <c r="BW67" s="15" t="n">
        <f aca="false">STDEV(BM67,BN67,BQ67,BR67)</f>
        <v>0.377154584965599</v>
      </c>
      <c r="BX67" s="19" t="str">
        <f aca="false">IF(BW67&lt;'Ensemble Parameters'!$B$14,"High",IF(BW67&lt;'Ensemble Parameters'!$B$15,"Moderate","Low"))</f>
        <v>Moderate</v>
      </c>
      <c r="BY67" s="19" t="str">
        <f aca="false">IF(BX67="Low","REVIEW — MODEL DISAGREEMENT","")</f>
        <v/>
      </c>
      <c r="BZ67" s="20" t="n">
        <v>4</v>
      </c>
    </row>
    <row r="68" customFormat="false" ht="15" hidden="false" customHeight="true" outlineLevel="0" collapsed="false">
      <c r="A68" s="7" t="s">
        <v>207</v>
      </c>
      <c r="B68" s="7" t="s">
        <v>216</v>
      </c>
      <c r="C68" s="7" t="s">
        <v>217</v>
      </c>
      <c r="D68" s="7" t="n">
        <v>21</v>
      </c>
      <c r="E68" s="7" t="s">
        <v>217</v>
      </c>
      <c r="F68" s="8" t="n">
        <v>30.243259399</v>
      </c>
      <c r="G68" s="9" t="n">
        <v>20</v>
      </c>
      <c r="H68" s="8" t="n">
        <v>4.10239091796577</v>
      </c>
      <c r="I68" s="8" t="n">
        <v>17.9360866451027</v>
      </c>
      <c r="J68" s="7" t="s">
        <v>83</v>
      </c>
      <c r="K68" s="7" t="s">
        <v>84</v>
      </c>
      <c r="L68" s="8" t="n">
        <v>14.0672083480275</v>
      </c>
      <c r="M68" s="8" t="n">
        <v>114.067208348028</v>
      </c>
      <c r="N68" s="9" t="n">
        <v>19</v>
      </c>
      <c r="O68" s="8" t="n">
        <v>0.622895238095238</v>
      </c>
      <c r="P68" s="8" t="n">
        <v>1.96632380952381</v>
      </c>
      <c r="Q68" s="7" t="s">
        <v>85</v>
      </c>
      <c r="R68" s="1" t="s">
        <v>86</v>
      </c>
      <c r="S68" s="10" t="n">
        <v>0.669347</v>
      </c>
      <c r="T68" s="11" t="n">
        <v>17</v>
      </c>
      <c r="U68" s="10" t="n">
        <v>0.672063</v>
      </c>
      <c r="V68" s="11" t="n">
        <v>16</v>
      </c>
      <c r="W68" s="10" t="n">
        <v>0.64546</v>
      </c>
      <c r="X68" s="11" t="n">
        <v>17</v>
      </c>
      <c r="Y68" s="10" t="n">
        <v>0.65029911716</v>
      </c>
      <c r="Z68" s="11" t="n">
        <v>16</v>
      </c>
      <c r="AA68" s="10" t="n">
        <v>0.7303</v>
      </c>
      <c r="AB68" s="10" t="n">
        <v>0.6769</v>
      </c>
      <c r="AC68" s="10" t="n">
        <v>0.5471</v>
      </c>
      <c r="AD68" s="10" t="n">
        <v>0.852</v>
      </c>
      <c r="AE68" s="10" t="n">
        <v>0.325</v>
      </c>
      <c r="AF68" s="10" t="n">
        <v>0.6999</v>
      </c>
      <c r="AG68" s="12" t="n">
        <v>36.24</v>
      </c>
      <c r="AH68" s="11" t="n">
        <v>-1</v>
      </c>
      <c r="AI68" s="1" t="s">
        <v>87</v>
      </c>
      <c r="AJ68" s="12" t="n">
        <v>7.76</v>
      </c>
      <c r="AK68" s="12" t="n">
        <v>7.44</v>
      </c>
      <c r="AL68" s="12" t="n">
        <v>5.94</v>
      </c>
      <c r="AM68" s="13" t="n">
        <v>34.5657776416583</v>
      </c>
      <c r="AN68" s="11" t="n">
        <v>16</v>
      </c>
      <c r="AO68" s="11" t="n">
        <v>13</v>
      </c>
      <c r="AP68" s="14" t="s">
        <v>88</v>
      </c>
      <c r="AQ68" s="13" t="n">
        <v>24.1960443491608</v>
      </c>
      <c r="AR68" s="11" t="n">
        <v>16</v>
      </c>
      <c r="AS68" s="13" t="n">
        <v>-0.450936970193858</v>
      </c>
      <c r="AT68" s="13" t="n">
        <v>23.7451073789669</v>
      </c>
      <c r="AU68" s="11" t="n">
        <v>16</v>
      </c>
      <c r="AV68" s="10"/>
      <c r="AW68" s="14" t="s">
        <v>89</v>
      </c>
      <c r="AX68" s="14" t="s">
        <v>90</v>
      </c>
      <c r="AY68" s="10" t="n">
        <v>15.608662893482</v>
      </c>
      <c r="AZ68" s="10" t="n">
        <v>115.608662893482</v>
      </c>
      <c r="BA68" s="11" t="n">
        <v>17</v>
      </c>
      <c r="BB68" s="14" t="s">
        <v>91</v>
      </c>
      <c r="BC68" s="10"/>
      <c r="BD68" s="11"/>
      <c r="BE68" s="14" t="s">
        <v>92</v>
      </c>
      <c r="BF68" s="10" t="n">
        <v>0.00830516874858067</v>
      </c>
      <c r="BG68" s="11" t="n">
        <v>37</v>
      </c>
      <c r="BH68" s="11" t="n">
        <v>12</v>
      </c>
      <c r="BI68" s="11" t="n">
        <v>12</v>
      </c>
      <c r="BJ68" s="11" t="n">
        <v>0</v>
      </c>
      <c r="BK68" s="10"/>
      <c r="BL68" s="14" t="s">
        <v>93</v>
      </c>
      <c r="BM68" s="15" t="n">
        <f aca="false">(F68-'Ensemble Parameters'!$B$20)/'Ensemble Parameters'!$C$20</f>
        <v>1.16850190418664</v>
      </c>
      <c r="BN68" s="15" t="n">
        <f aca="false">(L68-'Ensemble Parameters'!$B$21)/'Ensemble Parameters'!$C$21</f>
        <v>1.47453799344061</v>
      </c>
      <c r="BO68" s="15" t="n">
        <f aca="false">(S68-'Ensemble Parameters'!$B$22)/'Ensemble Parameters'!$C$22</f>
        <v>1.33490142488453</v>
      </c>
      <c r="BP68" s="15" t="n">
        <f aca="false">(W68-'Ensemble Parameters'!$B$23)/'Ensemble Parameters'!$C$23</f>
        <v>1.22928755887597</v>
      </c>
      <c r="BQ68" s="15" t="n">
        <f aca="false">AVERAGE(BO68:BP68)</f>
        <v>1.28209449188025</v>
      </c>
      <c r="BR68" s="15" t="n">
        <f aca="false">(AQ68-'Ensemble Parameters'!$B$24)/'Ensemble Parameters'!$C$24</f>
        <v>1.61117195227576</v>
      </c>
      <c r="BS68" s="15" t="n">
        <f aca="false">BM68*'Ensemble Parameters'!$B$5+BN68*'Ensemble Parameters'!$B$6+BQ68*'Ensemble Parameters'!$B$8+BR68*'Ensemble Parameters'!$B$7</f>
        <v>1.38407658544581</v>
      </c>
      <c r="BT68" s="16" t="n">
        <f aca="false">'Ensemble Parameters'!$B$11+'Ensemble Parameters'!$B$12*BS68</f>
        <v>113.840765854458</v>
      </c>
      <c r="BU68" s="17" t="n">
        <f aca="false">'Ensemble Parameters'!$B$13*BS68</f>
        <v>19.3770721962414</v>
      </c>
      <c r="BV68" s="18" t="n">
        <f aca="false">RANK(BT68,$BT$5:$BT$125,0)</f>
        <v>19</v>
      </c>
      <c r="BW68" s="15" t="n">
        <f aca="false">STDEV(BM68,BN68,BQ68,BR68)</f>
        <v>0.19717028391726</v>
      </c>
      <c r="BX68" s="19" t="str">
        <f aca="false">IF(BW68&lt;'Ensemble Parameters'!$B$14,"High",IF(BW68&lt;'Ensemble Parameters'!$B$15,"Moderate","Low"))</f>
        <v>High</v>
      </c>
      <c r="BY68" s="19" t="str">
        <f aca="false">IF(BX68="Low","REVIEW — MODEL DISAGREEMENT","")</f>
        <v/>
      </c>
      <c r="BZ68" s="20" t="n">
        <v>4</v>
      </c>
    </row>
    <row r="69" customFormat="false" ht="15" hidden="false" customHeight="true" outlineLevel="0" collapsed="false">
      <c r="A69" s="7" t="s">
        <v>207</v>
      </c>
      <c r="B69" s="7" t="s">
        <v>218</v>
      </c>
      <c r="C69" s="7" t="s">
        <v>219</v>
      </c>
      <c r="D69" s="7" t="n">
        <v>22</v>
      </c>
      <c r="E69" s="7" t="s">
        <v>219</v>
      </c>
      <c r="F69" s="8" t="n">
        <v>20.401090419</v>
      </c>
      <c r="G69" s="9" t="n">
        <v>114</v>
      </c>
      <c r="H69" s="8" t="n">
        <v>4.12259206810968</v>
      </c>
      <c r="I69" s="8" t="n">
        <v>8.03331421467097</v>
      </c>
      <c r="J69" s="7" t="s">
        <v>83</v>
      </c>
      <c r="K69" s="7" t="s">
        <v>84</v>
      </c>
      <c r="L69" s="8" t="n">
        <v>-4.64398369973008</v>
      </c>
      <c r="M69" s="8" t="n">
        <v>95.3560163002699</v>
      </c>
      <c r="N69" s="9" t="n">
        <v>79</v>
      </c>
      <c r="O69" s="8" t="n">
        <v>0.471952380952381</v>
      </c>
      <c r="P69" s="8" t="n">
        <v>-0.448761904761905</v>
      </c>
      <c r="Q69" s="7" t="s">
        <v>85</v>
      </c>
      <c r="R69" s="1" t="s">
        <v>86</v>
      </c>
      <c r="S69" s="10" t="n">
        <v>0.360015</v>
      </c>
      <c r="T69" s="11" t="n">
        <v>98</v>
      </c>
      <c r="U69" s="10" t="n">
        <v>0.354662</v>
      </c>
      <c r="V69" s="11" t="n">
        <v>95</v>
      </c>
      <c r="W69" s="10" t="n">
        <v>0.37858</v>
      </c>
      <c r="X69" s="11" t="n">
        <v>104</v>
      </c>
      <c r="Y69" s="10" t="n">
        <v>0.37157732458</v>
      </c>
      <c r="Z69" s="11" t="n">
        <v>95</v>
      </c>
      <c r="AA69" s="10" t="n">
        <v>0.2131</v>
      </c>
      <c r="AB69" s="10" t="n">
        <v>0.4146</v>
      </c>
      <c r="AC69" s="10" t="n">
        <v>0.4747</v>
      </c>
      <c r="AD69" s="10" t="n">
        <v>0.674</v>
      </c>
      <c r="AE69" s="10" t="n">
        <v>0.35</v>
      </c>
      <c r="AF69" s="10" t="n">
        <v>0.2998</v>
      </c>
      <c r="AG69" s="12" t="n">
        <v>16.99</v>
      </c>
      <c r="AH69" s="11" t="n">
        <v>-3</v>
      </c>
      <c r="AI69" s="1" t="s">
        <v>87</v>
      </c>
      <c r="AJ69" s="12" t="n">
        <v>2.64</v>
      </c>
      <c r="AK69" s="12" t="n">
        <v>2.78</v>
      </c>
      <c r="AL69" s="12" t="n">
        <v>2.31</v>
      </c>
      <c r="AM69" s="13" t="n">
        <v>-9.798854757729</v>
      </c>
      <c r="AN69" s="11" t="n">
        <v>68</v>
      </c>
      <c r="AO69" s="11" t="n">
        <v>12</v>
      </c>
      <c r="AP69" s="14" t="s">
        <v>88</v>
      </c>
      <c r="AQ69" s="13" t="n">
        <v>-6.8591983304103</v>
      </c>
      <c r="AR69" s="11" t="n">
        <v>70</v>
      </c>
      <c r="AS69" s="13" t="n">
        <v>-0.585889187664782</v>
      </c>
      <c r="AT69" s="13" t="n">
        <v>-7.44508751807508</v>
      </c>
      <c r="AU69" s="11" t="n">
        <v>80</v>
      </c>
      <c r="AV69" s="10"/>
      <c r="AW69" s="14" t="s">
        <v>89</v>
      </c>
      <c r="AX69" s="14" t="s">
        <v>90</v>
      </c>
      <c r="AY69" s="10" t="n">
        <v>-6.30332915427553</v>
      </c>
      <c r="AZ69" s="10" t="n">
        <v>93.6966708457245</v>
      </c>
      <c r="BA69" s="11" t="n">
        <v>84</v>
      </c>
      <c r="BB69" s="14" t="s">
        <v>91</v>
      </c>
      <c r="BC69" s="10"/>
      <c r="BD69" s="11"/>
      <c r="BE69" s="14" t="s">
        <v>92</v>
      </c>
      <c r="BF69" s="10" t="n">
        <v>0.00830341013059383</v>
      </c>
      <c r="BG69" s="11" t="n">
        <v>40</v>
      </c>
      <c r="BH69" s="11" t="n">
        <v>12</v>
      </c>
      <c r="BI69" s="11" t="n">
        <v>12</v>
      </c>
      <c r="BJ69" s="11" t="n">
        <v>0</v>
      </c>
      <c r="BK69" s="10"/>
      <c r="BL69" s="14" t="s">
        <v>93</v>
      </c>
      <c r="BM69" s="15" t="n">
        <f aca="false">(F69-'Ensemble Parameters'!$B$20)/'Ensemble Parameters'!$C$20</f>
        <v>-1.08924481060563</v>
      </c>
      <c r="BN69" s="15" t="n">
        <f aca="false">(L69-'Ensemble Parameters'!$B$21)/'Ensemble Parameters'!$C$21</f>
        <v>-0.486786733853349</v>
      </c>
      <c r="BO69" s="15" t="n">
        <f aca="false">(S69-'Ensemble Parameters'!$B$22)/'Ensemble Parameters'!$C$22</f>
        <v>-0.822267829274601</v>
      </c>
      <c r="BP69" s="15" t="n">
        <f aca="false">(W69-'Ensemble Parameters'!$B$23)/'Ensemble Parameters'!$C$23</f>
        <v>-0.861845839033944</v>
      </c>
      <c r="BQ69" s="15" t="n">
        <f aca="false">AVERAGE(BO69:BP69)</f>
        <v>-0.842056834154273</v>
      </c>
      <c r="BR69" s="15" t="n">
        <f aca="false">(AQ69-'Ensemble Parameters'!$B$24)/'Ensemble Parameters'!$C$24</f>
        <v>-0.449452757001824</v>
      </c>
      <c r="BS69" s="15" t="n">
        <f aca="false">BM69*'Ensemble Parameters'!$B$5+BN69*'Ensemble Parameters'!$B$6+BQ69*'Ensemble Parameters'!$B$8+BR69*'Ensemble Parameters'!$B$7</f>
        <v>-0.716885283903769</v>
      </c>
      <c r="BT69" s="16" t="n">
        <f aca="false">'Ensemble Parameters'!$B$11+'Ensemble Parameters'!$B$12*BS69</f>
        <v>92.8311471609623</v>
      </c>
      <c r="BU69" s="17" t="n">
        <f aca="false">'Ensemble Parameters'!$B$13*BS69</f>
        <v>-10.0363939746528</v>
      </c>
      <c r="BV69" s="18" t="n">
        <f aca="false">RANK(BT69,$BT$5:$BT$125,0)</f>
        <v>92</v>
      </c>
      <c r="BW69" s="15" t="n">
        <f aca="false">STDEV(BM69,BN69,BQ69,BR69)</f>
        <v>0.304841507070047</v>
      </c>
      <c r="BX69" s="19" t="str">
        <f aca="false">IF(BW69&lt;'Ensemble Parameters'!$B$14,"High",IF(BW69&lt;'Ensemble Parameters'!$B$15,"Moderate","Low"))</f>
        <v>Moderate</v>
      </c>
      <c r="BY69" s="19" t="str">
        <f aca="false">IF(BX69="Low","REVIEW — MODEL DISAGREEMENT","")</f>
        <v/>
      </c>
      <c r="BZ69" s="20" t="n">
        <v>4</v>
      </c>
    </row>
    <row r="70" customFormat="false" ht="15" hidden="false" customHeight="true" outlineLevel="0" collapsed="false">
      <c r="A70" s="7" t="s">
        <v>207</v>
      </c>
      <c r="B70" s="7" t="s">
        <v>220</v>
      </c>
      <c r="C70" s="7" t="s">
        <v>221</v>
      </c>
      <c r="D70" s="7" t="n">
        <v>23</v>
      </c>
      <c r="E70" s="7" t="s">
        <v>221</v>
      </c>
      <c r="F70" s="8" t="n">
        <v>25.454085163</v>
      </c>
      <c r="G70" s="9" t="n">
        <v>45</v>
      </c>
      <c r="H70" s="8" t="n">
        <v>4.09435276801905</v>
      </c>
      <c r="I70" s="8" t="n">
        <v>13.1710268589429</v>
      </c>
      <c r="J70" s="7" t="s">
        <v>83</v>
      </c>
      <c r="K70" s="7" t="s">
        <v>84</v>
      </c>
      <c r="L70" s="8" t="n">
        <v>2.78109120517414</v>
      </c>
      <c r="M70" s="8" t="n">
        <v>102.781091205174</v>
      </c>
      <c r="N70" s="9" t="n">
        <v>34</v>
      </c>
      <c r="O70" s="8" t="n">
        <v>0.682171428571429</v>
      </c>
      <c r="P70" s="8" t="n">
        <v>2.91474285714286</v>
      </c>
      <c r="Q70" s="7" t="s">
        <v>85</v>
      </c>
      <c r="R70" s="1" t="s">
        <v>86</v>
      </c>
      <c r="S70" s="10" t="n">
        <v>0.572607</v>
      </c>
      <c r="T70" s="11" t="n">
        <v>31</v>
      </c>
      <c r="U70" s="10" t="n">
        <v>0.560118</v>
      </c>
      <c r="V70" s="11" t="n">
        <v>28</v>
      </c>
      <c r="W70" s="10" t="n">
        <v>0.58154</v>
      </c>
      <c r="X70" s="11" t="n">
        <v>28</v>
      </c>
      <c r="Y70" s="10" t="n">
        <v>0.56825642784</v>
      </c>
      <c r="Z70" s="11" t="n">
        <v>28</v>
      </c>
      <c r="AA70" s="10" t="n">
        <v>0.4288</v>
      </c>
      <c r="AB70" s="10" t="n">
        <v>0.7233</v>
      </c>
      <c r="AC70" s="10" t="n">
        <v>0.4832</v>
      </c>
      <c r="AD70" s="10" t="n">
        <v>0.66</v>
      </c>
      <c r="AE70" s="10" t="n">
        <v>1</v>
      </c>
      <c r="AF70" s="10" t="n">
        <v>0.4321</v>
      </c>
      <c r="AG70" s="12" t="n">
        <v>18.88</v>
      </c>
      <c r="AH70" s="11" t="n">
        <v>-3</v>
      </c>
      <c r="AI70" s="1" t="s">
        <v>87</v>
      </c>
      <c r="AJ70" s="12" t="n">
        <v>6</v>
      </c>
      <c r="AK70" s="12" t="n">
        <v>6.1</v>
      </c>
      <c r="AL70" s="12" t="n">
        <v>7.28</v>
      </c>
      <c r="AM70" s="13" t="n">
        <v>-1.23261229391997</v>
      </c>
      <c r="AN70" s="11" t="n">
        <v>43</v>
      </c>
      <c r="AO70" s="11" t="n">
        <v>13</v>
      </c>
      <c r="AP70" s="14" t="s">
        <v>88</v>
      </c>
      <c r="AQ70" s="13" t="n">
        <v>-0.862828605743982</v>
      </c>
      <c r="AR70" s="11" t="n">
        <v>43</v>
      </c>
      <c r="AS70" s="13" t="n">
        <v>1.63387719011984</v>
      </c>
      <c r="AT70" s="13" t="n">
        <v>0.771048584375854</v>
      </c>
      <c r="AU70" s="11" t="n">
        <v>38</v>
      </c>
      <c r="AV70" s="10"/>
      <c r="AW70" s="14" t="s">
        <v>89</v>
      </c>
      <c r="AX70" s="14" t="s">
        <v>90</v>
      </c>
      <c r="AY70" s="10" t="n">
        <v>2.18014575062868</v>
      </c>
      <c r="AZ70" s="10" t="n">
        <v>102.180145750629</v>
      </c>
      <c r="BA70" s="11" t="n">
        <v>36</v>
      </c>
      <c r="BB70" s="14" t="s">
        <v>91</v>
      </c>
      <c r="BC70" s="10"/>
      <c r="BD70" s="11"/>
      <c r="BE70" s="14" t="s">
        <v>92</v>
      </c>
      <c r="BF70" s="10" t="n">
        <v>0.00829611950265171</v>
      </c>
      <c r="BG70" s="11" t="n">
        <v>53</v>
      </c>
      <c r="BH70" s="11" t="n">
        <v>12</v>
      </c>
      <c r="BI70" s="11" t="n">
        <v>12</v>
      </c>
      <c r="BJ70" s="11" t="n">
        <v>0</v>
      </c>
      <c r="BK70" s="10"/>
      <c r="BL70" s="14" t="s">
        <v>93</v>
      </c>
      <c r="BM70" s="15" t="n">
        <f aca="false">(F70-'Ensemble Parameters'!$B$20)/'Ensemble Parameters'!$C$20</f>
        <v>0.0698881311586556</v>
      </c>
      <c r="BN70" s="15" t="n">
        <f aca="false">(L70-'Ensemble Parameters'!$B$21)/'Ensemble Parameters'!$C$21</f>
        <v>0.291516592617171</v>
      </c>
      <c r="BO70" s="15" t="n">
        <f aca="false">(S70-'Ensemble Parameters'!$B$22)/'Ensemble Parameters'!$C$22</f>
        <v>0.660271727189642</v>
      </c>
      <c r="BP70" s="15" t="n">
        <f aca="false">(W70-'Ensemble Parameters'!$B$23)/'Ensemble Parameters'!$C$23</f>
        <v>0.728443558597183</v>
      </c>
      <c r="BQ70" s="15" t="n">
        <f aca="false">AVERAGE(BO70:BP70)</f>
        <v>0.694357642893412</v>
      </c>
      <c r="BR70" s="15" t="n">
        <f aca="false">(AQ70-'Ensemble Parameters'!$B$24)/'Ensemble Parameters'!$C$24</f>
        <v>-0.0515725102395057</v>
      </c>
      <c r="BS70" s="15" t="n">
        <f aca="false">BM70*'Ensemble Parameters'!$B$5+BN70*'Ensemble Parameters'!$B$6+BQ70*'Ensemble Parameters'!$B$8+BR70*'Ensemble Parameters'!$B$7</f>
        <v>0.251047464107433</v>
      </c>
      <c r="BT70" s="16" t="n">
        <f aca="false">'Ensemble Parameters'!$B$11+'Ensemble Parameters'!$B$12*BS70</f>
        <v>102.510474641074</v>
      </c>
      <c r="BU70" s="17" t="n">
        <f aca="false">'Ensemble Parameters'!$B$13*BS70</f>
        <v>3.51466449750407</v>
      </c>
      <c r="BV70" s="18" t="n">
        <f aca="false">RANK(BT70,$BT$5:$BT$125,0)</f>
        <v>35</v>
      </c>
      <c r="BW70" s="15" t="n">
        <f aca="false">STDEV(BM70,BN70,BQ70,BR70)</f>
        <v>0.327902026915451</v>
      </c>
      <c r="BX70" s="19" t="str">
        <f aca="false">IF(BW70&lt;'Ensemble Parameters'!$B$14,"High",IF(BW70&lt;'Ensemble Parameters'!$B$15,"Moderate","Low"))</f>
        <v>Moderate</v>
      </c>
      <c r="BY70" s="19" t="str">
        <f aca="false">IF(BX70="Low","REVIEW — MODEL DISAGREEMENT","")</f>
        <v/>
      </c>
      <c r="BZ70" s="20" t="n">
        <v>4</v>
      </c>
    </row>
    <row r="71" customFormat="false" ht="15" hidden="false" customHeight="true" outlineLevel="0" collapsed="false">
      <c r="A71" s="7" t="s">
        <v>207</v>
      </c>
      <c r="B71" s="7" t="s">
        <v>222</v>
      </c>
      <c r="C71" s="7" t="s">
        <v>223</v>
      </c>
      <c r="D71" s="7" t="n">
        <v>24</v>
      </c>
      <c r="E71" s="7" t="s">
        <v>223</v>
      </c>
      <c r="F71" s="8" t="n">
        <v>24.254555832</v>
      </c>
      <c r="G71" s="9" t="n">
        <v>55</v>
      </c>
      <c r="H71" s="8" t="n">
        <v>4.23864223842762</v>
      </c>
      <c r="I71" s="8" t="n">
        <v>11.5386291167171</v>
      </c>
      <c r="J71" s="7" t="s">
        <v>83</v>
      </c>
      <c r="K71" s="7" t="s">
        <v>84</v>
      </c>
      <c r="L71" s="8" t="n">
        <v>0.270548340408406</v>
      </c>
      <c r="M71" s="8" t="n">
        <v>100.270548340408</v>
      </c>
      <c r="N71" s="9" t="n">
        <v>41</v>
      </c>
      <c r="O71" s="8" t="n">
        <v>0.6512</v>
      </c>
      <c r="P71" s="8" t="n">
        <v>2.4192</v>
      </c>
      <c r="Q71" s="7" t="s">
        <v>85</v>
      </c>
      <c r="R71" s="1" t="s">
        <v>86</v>
      </c>
      <c r="S71" s="10" t="n">
        <v>0.521643</v>
      </c>
      <c r="T71" s="11" t="n">
        <v>39</v>
      </c>
      <c r="U71" s="10" t="n">
        <v>0.519728</v>
      </c>
      <c r="V71" s="11" t="n">
        <v>37</v>
      </c>
      <c r="W71" s="10" t="n">
        <v>0.53841</v>
      </c>
      <c r="X71" s="11" t="n">
        <v>37</v>
      </c>
      <c r="Y71" s="10" t="n">
        <v>0.53500466241</v>
      </c>
      <c r="Z71" s="11" t="n">
        <v>37</v>
      </c>
      <c r="AA71" s="10" t="n">
        <v>0.3516</v>
      </c>
      <c r="AB71" s="10" t="n">
        <v>0.6075</v>
      </c>
      <c r="AC71" s="10" t="n">
        <v>0.5222</v>
      </c>
      <c r="AD71" s="10" t="n">
        <v>0.783</v>
      </c>
      <c r="AE71" s="10" t="n">
        <v>0.85</v>
      </c>
      <c r="AF71" s="10" t="n">
        <v>0.5001</v>
      </c>
      <c r="AG71" s="12" t="n">
        <v>28.8</v>
      </c>
      <c r="AH71" s="11" t="n">
        <v>-2</v>
      </c>
      <c r="AI71" s="1" t="s">
        <v>87</v>
      </c>
      <c r="AJ71" s="12" t="n">
        <v>4.95</v>
      </c>
      <c r="AK71" s="12" t="n">
        <v>5.27</v>
      </c>
      <c r="AL71" s="12" t="n">
        <v>5.8</v>
      </c>
      <c r="AM71" s="13" t="n">
        <v>-4.08249477644561</v>
      </c>
      <c r="AN71" s="11" t="n">
        <v>47</v>
      </c>
      <c r="AO71" s="11" t="n">
        <v>12</v>
      </c>
      <c r="AP71" s="14" t="s">
        <v>88</v>
      </c>
      <c r="AQ71" s="13" t="n">
        <v>-2.85774634351192</v>
      </c>
      <c r="AR71" s="11" t="n">
        <v>47</v>
      </c>
      <c r="AS71" s="13" t="n">
        <v>1.53597935042609</v>
      </c>
      <c r="AT71" s="13" t="n">
        <v>-1.32176699308583</v>
      </c>
      <c r="AU71" s="11" t="n">
        <v>44</v>
      </c>
      <c r="AV71" s="10"/>
      <c r="AW71" s="14" t="s">
        <v>89</v>
      </c>
      <c r="AX71" s="14" t="s">
        <v>90</v>
      </c>
      <c r="AY71" s="10" t="n">
        <v>0.213602885862952</v>
      </c>
      <c r="AZ71" s="10" t="n">
        <v>100.213602885863</v>
      </c>
      <c r="BA71" s="11" t="n">
        <v>41</v>
      </c>
      <c r="BB71" s="14" t="s">
        <v>91</v>
      </c>
      <c r="BC71" s="10"/>
      <c r="BD71" s="11"/>
      <c r="BE71" s="14" t="s">
        <v>92</v>
      </c>
      <c r="BF71" s="10" t="n">
        <v>0.00830094217227148</v>
      </c>
      <c r="BG71" s="11" t="n">
        <v>44</v>
      </c>
      <c r="BH71" s="11" t="n">
        <v>12</v>
      </c>
      <c r="BI71" s="11" t="n">
        <v>12</v>
      </c>
      <c r="BJ71" s="11" t="n">
        <v>0</v>
      </c>
      <c r="BK71" s="10"/>
      <c r="BL71" s="14" t="s">
        <v>93</v>
      </c>
      <c r="BM71" s="15" t="n">
        <f aca="false">(F71-'Ensemble Parameters'!$B$20)/'Ensemble Parameters'!$C$20</f>
        <v>-0.205278187552752</v>
      </c>
      <c r="BN71" s="15" t="n">
        <f aca="false">(L71-'Ensemble Parameters'!$B$21)/'Ensemble Parameters'!$C$21</f>
        <v>0.0283591311882741</v>
      </c>
      <c r="BO71" s="15" t="n">
        <f aca="false">(S71-'Ensemble Parameters'!$B$22)/'Ensemble Parameters'!$C$22</f>
        <v>0.304867262507792</v>
      </c>
      <c r="BP71" s="15" t="n">
        <f aca="false">(W71-'Ensemble Parameters'!$B$23)/'Ensemble Parameters'!$C$23</f>
        <v>0.390499226118713</v>
      </c>
      <c r="BQ71" s="15" t="n">
        <f aca="false">AVERAGE(BO71:BP71)</f>
        <v>0.347683244313253</v>
      </c>
      <c r="BR71" s="15" t="n">
        <f aca="false">(AQ71-'Ensemble Parameters'!$B$24)/'Ensemble Parameters'!$C$24</f>
        <v>-0.183942327015239</v>
      </c>
      <c r="BS71" s="15" t="n">
        <f aca="false">BM71*'Ensemble Parameters'!$B$5+BN71*'Ensemble Parameters'!$B$6+BQ71*'Ensemble Parameters'!$B$8+BR71*'Ensemble Parameters'!$B$7</f>
        <v>-0.00329453476661603</v>
      </c>
      <c r="BT71" s="16" t="n">
        <f aca="false">'Ensemble Parameters'!$B$11+'Ensemble Parameters'!$B$12*BS71</f>
        <v>99.9670546523338</v>
      </c>
      <c r="BU71" s="17" t="n">
        <f aca="false">'Ensemble Parameters'!$B$13*BS71</f>
        <v>-0.0461234867326244</v>
      </c>
      <c r="BV71" s="18" t="n">
        <f aca="false">RANK(BT71,$BT$5:$BT$125,0)</f>
        <v>44</v>
      </c>
      <c r="BW71" s="15" t="n">
        <f aca="false">STDEV(BM71,BN71,BQ71,BR71)</f>
        <v>0.256656954456951</v>
      </c>
      <c r="BX71" s="19" t="str">
        <f aca="false">IF(BW71&lt;'Ensemble Parameters'!$B$14,"High",IF(BW71&lt;'Ensemble Parameters'!$B$15,"Moderate","Low"))</f>
        <v>High</v>
      </c>
      <c r="BY71" s="19" t="str">
        <f aca="false">IF(BX71="Low","REVIEW — MODEL DISAGREEMENT","")</f>
        <v/>
      </c>
      <c r="BZ71" s="20" t="n">
        <v>4</v>
      </c>
    </row>
    <row r="72" customFormat="false" ht="15" hidden="false" customHeight="true" outlineLevel="0" collapsed="false">
      <c r="A72" s="7" t="s">
        <v>207</v>
      </c>
      <c r="B72" s="7" t="s">
        <v>224</v>
      </c>
      <c r="C72" s="7" t="s">
        <v>225</v>
      </c>
      <c r="D72" s="7" t="n">
        <v>25</v>
      </c>
      <c r="E72" s="7" t="s">
        <v>225</v>
      </c>
      <c r="F72" s="8" t="n">
        <v>21.661148946</v>
      </c>
      <c r="G72" s="9" t="n">
        <v>95</v>
      </c>
      <c r="H72" s="8" t="n">
        <v>4.33581581608574</v>
      </c>
      <c r="I72" s="8" t="n">
        <v>8.65370149774278</v>
      </c>
      <c r="J72" s="7" t="s">
        <v>83</v>
      </c>
      <c r="K72" s="7" t="s">
        <v>84</v>
      </c>
      <c r="L72" s="8" t="n">
        <v>-2.55244059673979</v>
      </c>
      <c r="M72" s="8" t="n">
        <v>97.4475594032602</v>
      </c>
      <c r="N72" s="9" t="n">
        <v>56</v>
      </c>
      <c r="O72" s="8" t="n">
        <v>0.572733333333333</v>
      </c>
      <c r="P72" s="8" t="n">
        <v>1.16373333333334</v>
      </c>
      <c r="Q72" s="7" t="s">
        <v>85</v>
      </c>
      <c r="R72" s="1" t="s">
        <v>86</v>
      </c>
      <c r="S72" s="10" t="n">
        <v>0.426334</v>
      </c>
      <c r="T72" s="11" t="n">
        <v>72</v>
      </c>
      <c r="U72" s="10" t="n">
        <v>0.420313</v>
      </c>
      <c r="V72" s="11" t="n">
        <v>67</v>
      </c>
      <c r="W72" s="10" t="n">
        <v>0.453835</v>
      </c>
      <c r="X72" s="11" t="n">
        <v>68</v>
      </c>
      <c r="Y72" s="10" t="n">
        <v>0.445369656085</v>
      </c>
      <c r="Z72" s="11" t="n">
        <v>67</v>
      </c>
      <c r="AA72" s="10" t="n">
        <v>0.2342</v>
      </c>
      <c r="AB72" s="10" t="n">
        <v>0.5177</v>
      </c>
      <c r="AC72" s="10" t="n">
        <v>0.4993</v>
      </c>
      <c r="AD72" s="10" t="n">
        <v>0.585</v>
      </c>
      <c r="AE72" s="10" t="n">
        <v>0.85</v>
      </c>
      <c r="AF72" s="10" t="n">
        <v>0.3586</v>
      </c>
      <c r="AG72" s="12" t="n">
        <v>22.71</v>
      </c>
      <c r="AH72" s="11" t="n">
        <v>-5</v>
      </c>
      <c r="AI72" s="1" t="s">
        <v>87</v>
      </c>
      <c r="AJ72" s="12" t="n">
        <v>3.97</v>
      </c>
      <c r="AK72" s="12" t="n">
        <v>4.21</v>
      </c>
      <c r="AL72" s="12" t="n">
        <v>4.99</v>
      </c>
      <c r="AM72" s="13" t="n">
        <v>-5.31033347948149</v>
      </c>
      <c r="AN72" s="11" t="n">
        <v>51</v>
      </c>
      <c r="AO72" s="11" t="n">
        <v>12</v>
      </c>
      <c r="AP72" s="14" t="s">
        <v>88</v>
      </c>
      <c r="AQ72" s="13" t="n">
        <v>-3.71723343563704</v>
      </c>
      <c r="AR72" s="11" t="n">
        <v>51</v>
      </c>
      <c r="AS72" s="13" t="n">
        <v>0.938951856173841</v>
      </c>
      <c r="AT72" s="13" t="n">
        <v>-2.7782815794632</v>
      </c>
      <c r="AU72" s="11" t="n">
        <v>47</v>
      </c>
      <c r="AV72" s="10"/>
      <c r="AW72" s="14" t="s">
        <v>89</v>
      </c>
      <c r="AX72" s="14" t="s">
        <v>90</v>
      </c>
      <c r="AY72" s="10" t="n">
        <v>-3.74138605128524</v>
      </c>
      <c r="AZ72" s="10" t="n">
        <v>96.2586139487148</v>
      </c>
      <c r="BA72" s="11" t="n">
        <v>66</v>
      </c>
      <c r="BB72" s="14" t="s">
        <v>91</v>
      </c>
      <c r="BC72" s="10"/>
      <c r="BD72" s="11"/>
      <c r="BE72" s="14" t="s">
        <v>92</v>
      </c>
      <c r="BF72" s="10" t="n">
        <v>0.00829635160218665</v>
      </c>
      <c r="BG72" s="11" t="n">
        <v>52</v>
      </c>
      <c r="BH72" s="11" t="n">
        <v>12</v>
      </c>
      <c r="BI72" s="11" t="n">
        <v>12</v>
      </c>
      <c r="BJ72" s="11" t="n">
        <v>0</v>
      </c>
      <c r="BK72" s="10"/>
      <c r="BL72" s="14" t="s">
        <v>93</v>
      </c>
      <c r="BM72" s="15" t="n">
        <f aca="false">(F72-'Ensemble Parameters'!$B$20)/'Ensemble Parameters'!$C$20</f>
        <v>-0.800193382453841</v>
      </c>
      <c r="BN72" s="15" t="n">
        <f aca="false">(L72-'Ensemble Parameters'!$B$21)/'Ensemble Parameters'!$C$21</f>
        <v>-0.267549221052148</v>
      </c>
      <c r="BO72" s="15" t="n">
        <f aca="false">(S72-'Ensemble Parameters'!$B$22)/'Ensemble Parameters'!$C$22</f>
        <v>-0.359783159836654</v>
      </c>
      <c r="BP72" s="15" t="n">
        <f aca="false">(W72-'Ensemble Parameters'!$B$23)/'Ensemble Parameters'!$C$23</f>
        <v>-0.27218665190973</v>
      </c>
      <c r="BQ72" s="15" t="n">
        <f aca="false">AVERAGE(BO72:BP72)</f>
        <v>-0.315984905873192</v>
      </c>
      <c r="BR72" s="15" t="n">
        <f aca="false">(AQ72-'Ensemble Parameters'!$B$24)/'Ensemble Parameters'!$C$24</f>
        <v>-0.240972322163311</v>
      </c>
      <c r="BS72" s="15" t="n">
        <f aca="false">BM72*'Ensemble Parameters'!$B$5+BN72*'Ensemble Parameters'!$B$6+BQ72*'Ensemble Parameters'!$B$8+BR72*'Ensemble Parameters'!$B$7</f>
        <v>-0.406174957885623</v>
      </c>
      <c r="BT72" s="16" t="n">
        <f aca="false">'Ensemble Parameters'!$B$11+'Ensemble Parameters'!$B$12*BS72</f>
        <v>95.9382504211438</v>
      </c>
      <c r="BU72" s="17" t="n">
        <f aca="false">'Ensemble Parameters'!$B$13*BS72</f>
        <v>-5.68644941039872</v>
      </c>
      <c r="BV72" s="18" t="n">
        <f aca="false">RANK(BT72,$BT$5:$BT$125,0)</f>
        <v>69</v>
      </c>
      <c r="BW72" s="15" t="n">
        <f aca="false">STDEV(BM72,BN72,BQ72,BR72)</f>
        <v>0.264508204121944</v>
      </c>
      <c r="BX72" s="19" t="str">
        <f aca="false">IF(BW72&lt;'Ensemble Parameters'!$B$14,"High",IF(BW72&lt;'Ensemble Parameters'!$B$15,"Moderate","Low"))</f>
        <v>High</v>
      </c>
      <c r="BY72" s="19" t="str">
        <f aca="false">IF(BX72="Low","REVIEW — MODEL DISAGREEMENT","")</f>
        <v/>
      </c>
      <c r="BZ72" s="20" t="n">
        <v>4</v>
      </c>
    </row>
    <row r="73" customFormat="false" ht="15" hidden="false" customHeight="true" outlineLevel="0" collapsed="false">
      <c r="A73" s="7" t="s">
        <v>207</v>
      </c>
      <c r="B73" s="7" t="s">
        <v>226</v>
      </c>
      <c r="C73" s="7" t="s">
        <v>227</v>
      </c>
      <c r="D73" s="7" t="n">
        <v>26</v>
      </c>
      <c r="E73" s="7" t="s">
        <v>227</v>
      </c>
      <c r="F73" s="8" t="n">
        <v>32.195133008</v>
      </c>
      <c r="G73" s="9" t="n">
        <v>13</v>
      </c>
      <c r="H73" s="8" t="n">
        <v>4.3447923428349</v>
      </c>
      <c r="I73" s="8" t="n">
        <v>19.1607559794953</v>
      </c>
      <c r="J73" s="7" t="s">
        <v>83</v>
      </c>
      <c r="K73" s="7" t="s">
        <v>84</v>
      </c>
      <c r="L73" s="8" t="n">
        <v>17.4836217997201</v>
      </c>
      <c r="M73" s="8" t="n">
        <v>117.48362179972</v>
      </c>
      <c r="N73" s="9" t="n">
        <v>12</v>
      </c>
      <c r="O73" s="8" t="n">
        <v>0.717066666666667</v>
      </c>
      <c r="P73" s="8" t="n">
        <v>3.47306666666667</v>
      </c>
      <c r="Q73" s="7" t="s">
        <v>85</v>
      </c>
      <c r="R73" s="1" t="s">
        <v>86</v>
      </c>
      <c r="S73" s="10" t="n">
        <v>0.748607</v>
      </c>
      <c r="T73" s="11" t="n">
        <v>8</v>
      </c>
      <c r="U73" s="10" t="n">
        <v>0.751059</v>
      </c>
      <c r="V73" s="11" t="n">
        <v>8</v>
      </c>
      <c r="W73" s="10" t="n">
        <v>0.73307</v>
      </c>
      <c r="X73" s="11" t="n">
        <v>8</v>
      </c>
      <c r="Y73" s="10" t="n">
        <v>0.73690378257</v>
      </c>
      <c r="Z73" s="11" t="n">
        <v>8</v>
      </c>
      <c r="AA73" s="10" t="n">
        <v>0.79</v>
      </c>
      <c r="AB73" s="10" t="n">
        <v>0.6571</v>
      </c>
      <c r="AC73" s="10" t="n">
        <v>0.5886</v>
      </c>
      <c r="AD73" s="10" t="n">
        <v>0.93</v>
      </c>
      <c r="AE73" s="10" t="n">
        <v>0.85</v>
      </c>
      <c r="AF73" s="10" t="n">
        <v>0.7762</v>
      </c>
      <c r="AG73" s="12" t="n">
        <v>50.5</v>
      </c>
      <c r="AH73" s="11" t="n">
        <v>0</v>
      </c>
      <c r="AI73" s="1" t="s">
        <v>87</v>
      </c>
      <c r="AJ73" s="12" t="n">
        <v>8.23</v>
      </c>
      <c r="AK73" s="12" t="n">
        <v>8.17</v>
      </c>
      <c r="AL73" s="12" t="n">
        <v>7.78</v>
      </c>
      <c r="AM73" s="13" t="n">
        <v>37.4915998686862</v>
      </c>
      <c r="AN73" s="11" t="n">
        <v>13</v>
      </c>
      <c r="AO73" s="11" t="n">
        <v>13</v>
      </c>
      <c r="AP73" s="14" t="s">
        <v>88</v>
      </c>
      <c r="AQ73" s="13" t="n">
        <v>26.2441199080804</v>
      </c>
      <c r="AR73" s="11" t="n">
        <v>13</v>
      </c>
      <c r="AS73" s="13" t="n">
        <v>0.905458441444424</v>
      </c>
      <c r="AT73" s="13" t="n">
        <v>27.1495783495248</v>
      </c>
      <c r="AU73" s="11" t="n">
        <v>11</v>
      </c>
      <c r="AV73" s="10"/>
      <c r="AW73" s="14" t="s">
        <v>89</v>
      </c>
      <c r="AX73" s="14" t="s">
        <v>90</v>
      </c>
      <c r="AY73" s="10" t="n">
        <v>19.6354763451747</v>
      </c>
      <c r="AZ73" s="10" t="n">
        <v>119.635476345175</v>
      </c>
      <c r="BA73" s="11" t="n">
        <v>12</v>
      </c>
      <c r="BB73" s="14" t="s">
        <v>91</v>
      </c>
      <c r="BC73" s="10"/>
      <c r="BD73" s="11"/>
      <c r="BE73" s="14" t="s">
        <v>92</v>
      </c>
      <c r="BF73" s="10" t="n">
        <v>0.00830472094079266</v>
      </c>
      <c r="BG73" s="11" t="n">
        <v>38</v>
      </c>
      <c r="BH73" s="11" t="n">
        <v>12</v>
      </c>
      <c r="BI73" s="11" t="n">
        <v>12</v>
      </c>
      <c r="BJ73" s="11" t="n">
        <v>0</v>
      </c>
      <c r="BK73" s="10"/>
      <c r="BL73" s="14" t="s">
        <v>93</v>
      </c>
      <c r="BM73" s="15" t="n">
        <f aca="false">(F73-'Ensemble Parameters'!$B$20)/'Ensemble Parameters'!$C$20</f>
        <v>1.61625241907462</v>
      </c>
      <c r="BN73" s="15" t="n">
        <f aca="false">(L73-'Ensemble Parameters'!$B$21)/'Ensemble Parameters'!$C$21</f>
        <v>1.83264966074442</v>
      </c>
      <c r="BO73" s="15" t="n">
        <f aca="false">(S73-'Ensemble Parameters'!$B$22)/'Ensemble Parameters'!$C$22</f>
        <v>1.88763193800523</v>
      </c>
      <c r="BP73" s="15" t="n">
        <f aca="false">(W73-'Ensemble Parameters'!$B$23)/'Ensemble Parameters'!$C$23</f>
        <v>1.91575412433942</v>
      </c>
      <c r="BQ73" s="15" t="n">
        <f aca="false">AVERAGE(BO73:BP73)</f>
        <v>1.90169303117232</v>
      </c>
      <c r="BR73" s="15" t="n">
        <f aca="false">(AQ73-'Ensemble Parameters'!$B$24)/'Ensemble Parameters'!$C$24</f>
        <v>1.7470689776741</v>
      </c>
      <c r="BS73" s="15" t="n">
        <f aca="false">BM73*'Ensemble Parameters'!$B$5+BN73*'Ensemble Parameters'!$B$6+BQ73*'Ensemble Parameters'!$B$8+BR73*'Ensemble Parameters'!$B$7</f>
        <v>1.77441602216637</v>
      </c>
      <c r="BT73" s="16" t="n">
        <f aca="false">'Ensemble Parameters'!$B$11+'Ensemble Parameters'!$B$12*BS73</f>
        <v>117.744160221664</v>
      </c>
      <c r="BU73" s="17" t="n">
        <f aca="false">'Ensemble Parameters'!$B$13*BS73</f>
        <v>24.8418243103291</v>
      </c>
      <c r="BV73" s="18" t="n">
        <f aca="false">RANK(BT73,$BT$5:$BT$125,0)</f>
        <v>11</v>
      </c>
      <c r="BW73" s="15" t="n">
        <f aca="false">STDEV(BM73,BN73,BQ73,BR73)</f>
        <v>0.122955520235259</v>
      </c>
      <c r="BX73" s="19" t="str">
        <f aca="false">IF(BW73&lt;'Ensemble Parameters'!$B$14,"High",IF(BW73&lt;'Ensemble Parameters'!$B$15,"Moderate","Low"))</f>
        <v>High</v>
      </c>
      <c r="BY73" s="19" t="str">
        <f aca="false">IF(BX73="Low","REVIEW — MODEL DISAGREEMENT","")</f>
        <v/>
      </c>
      <c r="BZ73" s="20" t="n">
        <v>4</v>
      </c>
    </row>
    <row r="74" customFormat="false" ht="15" hidden="false" customHeight="true" outlineLevel="0" collapsed="false">
      <c r="A74" s="7" t="s">
        <v>207</v>
      </c>
      <c r="B74" s="7" t="s">
        <v>228</v>
      </c>
      <c r="C74" s="7" t="s">
        <v>229</v>
      </c>
      <c r="D74" s="7" t="n">
        <v>27</v>
      </c>
      <c r="E74" s="7" t="s">
        <v>229</v>
      </c>
      <c r="F74" s="8" t="n">
        <v>31.8933277</v>
      </c>
      <c r="G74" s="9" t="n">
        <v>15</v>
      </c>
      <c r="H74" s="8" t="n">
        <v>4.26128771342635</v>
      </c>
      <c r="I74" s="8" t="n">
        <v>19.109464559721</v>
      </c>
      <c r="J74" s="7" t="s">
        <v>83</v>
      </c>
      <c r="K74" s="7" t="s">
        <v>84</v>
      </c>
      <c r="L74" s="8" t="n">
        <v>21.9970441792695</v>
      </c>
      <c r="M74" s="8" t="n">
        <v>121.99704417927</v>
      </c>
      <c r="N74" s="9" t="n">
        <v>1</v>
      </c>
      <c r="O74" s="8" t="n">
        <v>0.707895238095238</v>
      </c>
      <c r="P74" s="8" t="n">
        <v>3.32632380952381</v>
      </c>
      <c r="Q74" s="7" t="s">
        <v>85</v>
      </c>
      <c r="R74" s="1" t="s">
        <v>86</v>
      </c>
      <c r="S74" s="10" t="n">
        <v>0.776604</v>
      </c>
      <c r="T74" s="11" t="n">
        <v>4</v>
      </c>
      <c r="U74" s="10" t="n">
        <v>0.784212</v>
      </c>
      <c r="V74" s="11" t="n">
        <v>4</v>
      </c>
      <c r="W74" s="10" t="n">
        <v>0.747835</v>
      </c>
      <c r="X74" s="11" t="n">
        <v>5</v>
      </c>
      <c r="Y74" s="10" t="n">
        <v>0.758000790485</v>
      </c>
      <c r="Z74" s="11" t="n">
        <v>4</v>
      </c>
      <c r="AA74" s="10" t="n">
        <v>0.8668</v>
      </c>
      <c r="AB74" s="10" t="n">
        <v>0.7309</v>
      </c>
      <c r="AC74" s="10" t="n">
        <v>0.5531</v>
      </c>
      <c r="AD74" s="10" t="n">
        <v>0.9</v>
      </c>
      <c r="AE74" s="10" t="n">
        <v>0.7</v>
      </c>
      <c r="AF74" s="10" t="n">
        <v>0.8622</v>
      </c>
      <c r="AG74" s="12" t="n">
        <v>38.13</v>
      </c>
      <c r="AH74" s="11" t="n">
        <v>0</v>
      </c>
      <c r="AI74" s="1" t="s">
        <v>87</v>
      </c>
      <c r="AJ74" s="12" t="n">
        <v>9.57</v>
      </c>
      <c r="AK74" s="12" t="n">
        <v>9.23</v>
      </c>
      <c r="AL74" s="12" t="n">
        <v>8.47</v>
      </c>
      <c r="AM74" s="13" t="n">
        <v>53.7035111602225</v>
      </c>
      <c r="AN74" s="11" t="n">
        <v>1</v>
      </c>
      <c r="AO74" s="11" t="n">
        <v>14</v>
      </c>
      <c r="AP74" s="14" t="s">
        <v>88</v>
      </c>
      <c r="AQ74" s="13" t="n">
        <v>37.5924578121558</v>
      </c>
      <c r="AR74" s="11" t="n">
        <v>1</v>
      </c>
      <c r="AS74" s="13" t="n">
        <v>0.338591168562922</v>
      </c>
      <c r="AT74" s="13" t="n">
        <v>37.9310489807187</v>
      </c>
      <c r="AU74" s="11" t="n">
        <v>1</v>
      </c>
      <c r="AV74" s="10"/>
      <c r="AW74" s="14" t="s">
        <v>89</v>
      </c>
      <c r="AX74" s="14" t="s">
        <v>90</v>
      </c>
      <c r="AY74" s="10" t="n">
        <v>24.8368987247241</v>
      </c>
      <c r="AZ74" s="10" t="n">
        <v>124.836898724724</v>
      </c>
      <c r="BA74" s="11" t="n">
        <v>1</v>
      </c>
      <c r="BB74" s="14" t="s">
        <v>91</v>
      </c>
      <c r="BC74" s="10"/>
      <c r="BD74" s="11"/>
      <c r="BE74" s="14" t="s">
        <v>92</v>
      </c>
      <c r="BF74" s="10" t="n">
        <v>0.00834847970937553</v>
      </c>
      <c r="BG74" s="11" t="n">
        <v>14</v>
      </c>
      <c r="BH74" s="11" t="n">
        <v>12</v>
      </c>
      <c r="BI74" s="11" t="n">
        <v>12</v>
      </c>
      <c r="BJ74" s="11" t="n">
        <v>0</v>
      </c>
      <c r="BK74" s="10"/>
      <c r="BL74" s="14" t="s">
        <v>93</v>
      </c>
      <c r="BM74" s="15" t="n">
        <f aca="false">(F74-'Ensemble Parameters'!$B$20)/'Ensemble Parameters'!$C$20</f>
        <v>1.54701971802787</v>
      </c>
      <c r="BN74" s="15" t="n">
        <f aca="false">(L74-'Ensemble Parameters'!$B$21)/'Ensemble Parameters'!$C$21</f>
        <v>2.30575083437024</v>
      </c>
      <c r="BO74" s="15" t="n">
        <f aca="false">(S74-'Ensemble Parameters'!$B$22)/'Ensemble Parameters'!$C$22</f>
        <v>2.0828728688132</v>
      </c>
      <c r="BP74" s="15" t="n">
        <f aca="false">(W74-'Ensemble Parameters'!$B$23)/'Ensemble Parameters'!$C$23</f>
        <v>2.03144501395326</v>
      </c>
      <c r="BQ74" s="15" t="n">
        <f aca="false">AVERAGE(BO74:BP74)</f>
        <v>2.05715894138323</v>
      </c>
      <c r="BR74" s="15" t="n">
        <f aca="false">(AQ74-'Ensemble Parameters'!$B$24)/'Ensemble Parameters'!$C$24</f>
        <v>2.50007115948452</v>
      </c>
      <c r="BS74" s="15" t="n">
        <f aca="false">BM74*'Ensemble Parameters'!$B$5+BN74*'Ensemble Parameters'!$B$6+BQ74*'Ensemble Parameters'!$B$8+BR74*'Ensemble Parameters'!$B$7</f>
        <v>2.10250016331647</v>
      </c>
      <c r="BT74" s="16" t="n">
        <f aca="false">'Ensemble Parameters'!$B$11+'Ensemble Parameters'!$B$12*BS74</f>
        <v>121.025001633165</v>
      </c>
      <c r="BU74" s="17" t="n">
        <f aca="false">'Ensemble Parameters'!$B$13*BS74</f>
        <v>29.4350022864305</v>
      </c>
      <c r="BV74" s="18" t="n">
        <f aca="false">RANK(BT74,$BT$5:$BT$125,0)</f>
        <v>5</v>
      </c>
      <c r="BW74" s="15" t="n">
        <f aca="false">STDEV(BM74,BN74,BQ74,BR74)</f>
        <v>0.412305664841947</v>
      </c>
      <c r="BX74" s="19" t="str">
        <f aca="false">IF(BW74&lt;'Ensemble Parameters'!$B$14,"High",IF(BW74&lt;'Ensemble Parameters'!$B$15,"Moderate","Low"))</f>
        <v>Moderate</v>
      </c>
      <c r="BY74" s="19" t="str">
        <f aca="false">IF(BX74="Low","REVIEW — MODEL DISAGREEMENT","")</f>
        <v/>
      </c>
      <c r="BZ74" s="20" t="n">
        <v>4</v>
      </c>
    </row>
    <row r="75" customFormat="false" ht="15" hidden="false" customHeight="true" outlineLevel="0" collapsed="false">
      <c r="A75" s="7" t="s">
        <v>207</v>
      </c>
      <c r="B75" s="7" t="s">
        <v>230</v>
      </c>
      <c r="C75" s="7" t="s">
        <v>231</v>
      </c>
      <c r="D75" s="7" t="n">
        <v>28</v>
      </c>
      <c r="E75" s="7" t="s">
        <v>231</v>
      </c>
      <c r="F75" s="8" t="n">
        <v>22.507836277</v>
      </c>
      <c r="G75" s="9" t="n">
        <v>80</v>
      </c>
      <c r="H75" s="8" t="n">
        <v>4.3134257077566</v>
      </c>
      <c r="I75" s="8" t="n">
        <v>9.5675591537302</v>
      </c>
      <c r="J75" s="7" t="s">
        <v>83</v>
      </c>
      <c r="K75" s="7" t="s">
        <v>84</v>
      </c>
      <c r="L75" s="8" t="n">
        <v>-3.12811526380215</v>
      </c>
      <c r="M75" s="8" t="n">
        <v>96.8718847361979</v>
      </c>
      <c r="N75" s="9" t="n">
        <v>65</v>
      </c>
      <c r="O75" s="8" t="n">
        <v>0.55512380952381</v>
      </c>
      <c r="P75" s="8" t="n">
        <v>0.881980952380953</v>
      </c>
      <c r="Q75" s="7" t="s">
        <v>85</v>
      </c>
      <c r="R75" s="1" t="s">
        <v>86</v>
      </c>
      <c r="S75" s="10" t="n">
        <v>0.426379</v>
      </c>
      <c r="T75" s="11" t="n">
        <v>62</v>
      </c>
      <c r="U75" s="10" t="n">
        <v>0.449954</v>
      </c>
      <c r="V75" s="11" t="n">
        <v>57</v>
      </c>
      <c r="W75" s="10" t="n">
        <v>0.449445</v>
      </c>
      <c r="X75" s="11" t="n">
        <v>60</v>
      </c>
      <c r="Y75" s="10" t="n">
        <v>0.470969915795</v>
      </c>
      <c r="Z75" s="11" t="n">
        <v>57</v>
      </c>
      <c r="AA75" s="10" t="n">
        <v>0.2574</v>
      </c>
      <c r="AB75" s="10" t="n">
        <v>0.4569</v>
      </c>
      <c r="AC75" s="10" t="n">
        <v>0.5979</v>
      </c>
      <c r="AD75" s="10" t="n">
        <v>0.86</v>
      </c>
      <c r="AE75" s="10" t="n">
        <v>0.325</v>
      </c>
      <c r="AF75" s="10" t="n">
        <v>0.6916</v>
      </c>
      <c r="AG75" s="12" t="n">
        <v>54.02</v>
      </c>
      <c r="AH75" s="11" t="n">
        <v>-5</v>
      </c>
      <c r="AI75" s="1" t="s">
        <v>87</v>
      </c>
      <c r="AJ75" s="12" t="n">
        <v>4.84</v>
      </c>
      <c r="AK75" s="12" t="n">
        <v>4.99</v>
      </c>
      <c r="AL75" s="12" t="n">
        <v>3.5</v>
      </c>
      <c r="AM75" s="13" t="n">
        <v>-10.6439117723812</v>
      </c>
      <c r="AN75" s="11" t="n">
        <v>74</v>
      </c>
      <c r="AO75" s="11" t="n">
        <v>12</v>
      </c>
      <c r="AP75" s="14" t="s">
        <v>88</v>
      </c>
      <c r="AQ75" s="13" t="n">
        <v>-7.45073824066685</v>
      </c>
      <c r="AR75" s="11" t="n">
        <v>76</v>
      </c>
      <c r="AS75" s="13" t="n">
        <v>0.55880750877401</v>
      </c>
      <c r="AT75" s="13" t="n">
        <v>-6.89193073189284</v>
      </c>
      <c r="AU75" s="11" t="n">
        <v>76</v>
      </c>
      <c r="AV75" s="10"/>
      <c r="AW75" s="14" t="s">
        <v>89</v>
      </c>
      <c r="AX75" s="14" t="s">
        <v>90</v>
      </c>
      <c r="AY75" s="10" t="n">
        <v>-1.6530607183476</v>
      </c>
      <c r="AZ75" s="10" t="n">
        <v>98.3469392816524</v>
      </c>
      <c r="BA75" s="11" t="n">
        <v>50</v>
      </c>
      <c r="BB75" s="14" t="s">
        <v>91</v>
      </c>
      <c r="BC75" s="10"/>
      <c r="BD75" s="11"/>
      <c r="BE75" s="14" t="s">
        <v>92</v>
      </c>
      <c r="BF75" s="10" t="n">
        <v>0.00830383762241475</v>
      </c>
      <c r="BG75" s="11" t="n">
        <v>39</v>
      </c>
      <c r="BH75" s="11" t="n">
        <v>12</v>
      </c>
      <c r="BI75" s="11" t="n">
        <v>12</v>
      </c>
      <c r="BJ75" s="11" t="n">
        <v>0</v>
      </c>
      <c r="BK75" s="10"/>
      <c r="BL75" s="14" t="s">
        <v>93</v>
      </c>
      <c r="BM75" s="15" t="n">
        <f aca="false">(F75-'Ensemble Parameters'!$B$20)/'Ensemble Parameters'!$C$20</f>
        <v>-0.605967338996753</v>
      </c>
      <c r="BN75" s="15" t="n">
        <f aca="false">(L75-'Ensemble Parameters'!$B$21)/'Ensemble Parameters'!$C$21</f>
        <v>-0.327891980428691</v>
      </c>
      <c r="BO75" s="15" t="n">
        <f aca="false">(S75-'Ensemble Parameters'!$B$22)/'Ensemble Parameters'!$C$22</f>
        <v>-0.359469346146388</v>
      </c>
      <c r="BP75" s="15" t="n">
        <f aca="false">(W75-'Ensemble Parameters'!$B$23)/'Ensemble Parameters'!$C$23</f>
        <v>-0.306584417260541</v>
      </c>
      <c r="BQ75" s="15" t="n">
        <f aca="false">AVERAGE(BO75:BP75)</f>
        <v>-0.333026881703465</v>
      </c>
      <c r="BR75" s="15" t="n">
        <f aca="false">(AQ75-'Ensemble Parameters'!$B$24)/'Ensemble Parameters'!$C$24</f>
        <v>-0.488703513087538</v>
      </c>
      <c r="BS75" s="15" t="n">
        <f aca="false">BM75*'Ensemble Parameters'!$B$5+BN75*'Ensemble Parameters'!$B$6+BQ75*'Ensemble Parameters'!$B$8+BR75*'Ensemble Parameters'!$B$7</f>
        <v>-0.438897428554112</v>
      </c>
      <c r="BT75" s="16" t="n">
        <f aca="false">'Ensemble Parameters'!$B$11+'Ensemble Parameters'!$B$12*BS75</f>
        <v>95.6110257144589</v>
      </c>
      <c r="BU75" s="17" t="n">
        <f aca="false">'Ensemble Parameters'!$B$13*BS75</f>
        <v>-6.14456399975756</v>
      </c>
      <c r="BV75" s="18" t="n">
        <f aca="false">RANK(BT75,$BT$5:$BT$125,0)</f>
        <v>71</v>
      </c>
      <c r="BW75" s="15" t="n">
        <f aca="false">STDEV(BM75,BN75,BQ75,BR75)</f>
        <v>0.134069364181187</v>
      </c>
      <c r="BX75" s="19" t="str">
        <f aca="false">IF(BW75&lt;'Ensemble Parameters'!$B$14,"High",IF(BW75&lt;'Ensemble Parameters'!$B$15,"Moderate","Low"))</f>
        <v>High</v>
      </c>
      <c r="BY75" s="19" t="str">
        <f aca="false">IF(BX75="Low","REVIEW — MODEL DISAGREEMENT","")</f>
        <v/>
      </c>
      <c r="BZ75" s="20" t="n">
        <v>4</v>
      </c>
    </row>
    <row r="76" customFormat="false" ht="15" hidden="false" customHeight="true" outlineLevel="0" collapsed="false">
      <c r="A76" s="7" t="s">
        <v>207</v>
      </c>
      <c r="B76" s="7" t="s">
        <v>232</v>
      </c>
      <c r="C76" s="7" t="s">
        <v>233</v>
      </c>
      <c r="D76" s="7" t="n">
        <v>29</v>
      </c>
      <c r="E76" s="7" t="s">
        <v>233</v>
      </c>
      <c r="F76" s="8" t="n">
        <v>21.727812739</v>
      </c>
      <c r="G76" s="9" t="n">
        <v>92</v>
      </c>
      <c r="H76" s="8" t="n">
        <v>4.33316608337939</v>
      </c>
      <c r="I76" s="8" t="n">
        <v>8.72831448886184</v>
      </c>
      <c r="J76" s="7" t="s">
        <v>83</v>
      </c>
      <c r="K76" s="7" t="s">
        <v>84</v>
      </c>
      <c r="L76" s="8" t="n">
        <v>-2.15504494533046</v>
      </c>
      <c r="M76" s="8" t="n">
        <v>97.8449550546695</v>
      </c>
      <c r="N76" s="9" t="n">
        <v>53</v>
      </c>
      <c r="O76" s="8" t="n">
        <v>0.642380952380953</v>
      </c>
      <c r="P76" s="8" t="n">
        <v>2.27809523809524</v>
      </c>
      <c r="Q76" s="7" t="s">
        <v>85</v>
      </c>
      <c r="R76" s="1" t="s">
        <v>86</v>
      </c>
      <c r="S76" s="10" t="n">
        <v>0.472915</v>
      </c>
      <c r="T76" s="11" t="n">
        <v>58</v>
      </c>
      <c r="U76" s="10" t="n">
        <v>0.452238</v>
      </c>
      <c r="V76" s="11" t="n">
        <v>53</v>
      </c>
      <c r="W76" s="10" t="n">
        <v>0.498865</v>
      </c>
      <c r="X76" s="11" t="n">
        <v>56</v>
      </c>
      <c r="Y76" s="10" t="n">
        <v>0.475881415715</v>
      </c>
      <c r="Z76" s="11" t="n">
        <v>53</v>
      </c>
      <c r="AA76" s="10" t="n">
        <v>0.2505</v>
      </c>
      <c r="AB76" s="10" t="n">
        <v>0.6442</v>
      </c>
      <c r="AC76" s="10" t="n">
        <v>0.4894</v>
      </c>
      <c r="AD76" s="10" t="n">
        <v>0.6</v>
      </c>
      <c r="AE76" s="10" t="n">
        <v>1</v>
      </c>
      <c r="AF76" s="10" t="n">
        <v>0.2403</v>
      </c>
      <c r="AG76" s="12" t="n">
        <v>20.31</v>
      </c>
      <c r="AH76" s="11" t="n">
        <v>-5</v>
      </c>
      <c r="AI76" s="1" t="s">
        <v>87</v>
      </c>
      <c r="AJ76" s="12" t="n">
        <v>4.41</v>
      </c>
      <c r="AK76" s="12" t="n">
        <v>4.75</v>
      </c>
      <c r="AL76" s="12" t="n">
        <v>6.13</v>
      </c>
      <c r="AM76" s="13" t="n">
        <v>-9.81452512022682</v>
      </c>
      <c r="AN76" s="11" t="n">
        <v>69</v>
      </c>
      <c r="AO76" s="11" t="n">
        <v>12</v>
      </c>
      <c r="AP76" s="14" t="s">
        <v>88</v>
      </c>
      <c r="AQ76" s="13" t="n">
        <v>-6.87016758415877</v>
      </c>
      <c r="AR76" s="11" t="n">
        <v>71</v>
      </c>
      <c r="AS76" s="13" t="n">
        <v>1.80756782383293</v>
      </c>
      <c r="AT76" s="13" t="n">
        <v>-5.06259976032584</v>
      </c>
      <c r="AU76" s="11" t="n">
        <v>56</v>
      </c>
      <c r="AV76" s="10"/>
      <c r="AW76" s="14" t="s">
        <v>89</v>
      </c>
      <c r="AX76" s="14" t="s">
        <v>90</v>
      </c>
      <c r="AY76" s="10" t="n">
        <v>-4.29039039987592</v>
      </c>
      <c r="AZ76" s="10" t="n">
        <v>95.7096096001241</v>
      </c>
      <c r="BA76" s="11" t="n">
        <v>73</v>
      </c>
      <c r="BB76" s="14" t="s">
        <v>91</v>
      </c>
      <c r="BC76" s="10"/>
      <c r="BD76" s="11"/>
      <c r="BE76" s="14" t="s">
        <v>92</v>
      </c>
      <c r="BF76" s="10" t="n">
        <v>0.00830806003424765</v>
      </c>
      <c r="BG76" s="11" t="n">
        <v>35</v>
      </c>
      <c r="BH76" s="11" t="n">
        <v>12</v>
      </c>
      <c r="BI76" s="11" t="n">
        <v>12</v>
      </c>
      <c r="BJ76" s="11" t="n">
        <v>0</v>
      </c>
      <c r="BK76" s="10"/>
      <c r="BL76" s="14" t="s">
        <v>93</v>
      </c>
      <c r="BM76" s="15" t="n">
        <f aca="false">(F76-'Ensemble Parameters'!$B$20)/'Ensemble Parameters'!$C$20</f>
        <v>-0.784901025662651</v>
      </c>
      <c r="BN76" s="15" t="n">
        <f aca="false">(L76-'Ensemble Parameters'!$B$21)/'Ensemble Parameters'!$C$21</f>
        <v>-0.225893835567415</v>
      </c>
      <c r="BO76" s="15" t="n">
        <f aca="false">(S76-'Ensemble Parameters'!$B$22)/'Ensemble Parameters'!$C$22</f>
        <v>-0.0349441485866495</v>
      </c>
      <c r="BP76" s="15" t="n">
        <f aca="false">(W76-'Ensemble Parameters'!$B$23)/'Ensemble Parameters'!$C$23</f>
        <v>0.0806450960964275</v>
      </c>
      <c r="BQ76" s="15" t="n">
        <f aca="false">AVERAGE(BO76:BP76)</f>
        <v>0.022850473754889</v>
      </c>
      <c r="BR76" s="15" t="n">
        <f aca="false">(AQ76-'Ensemble Parameters'!$B$24)/'Ensemble Parameters'!$C$24</f>
        <v>-0.450180605615009</v>
      </c>
      <c r="BS76" s="15" t="n">
        <f aca="false">BM76*'Ensemble Parameters'!$B$5+BN76*'Ensemble Parameters'!$B$6+BQ76*'Ensemble Parameters'!$B$8+BR76*'Ensemble Parameters'!$B$7</f>
        <v>-0.359531248272546</v>
      </c>
      <c r="BT76" s="16" t="n">
        <f aca="false">'Ensemble Parameters'!$B$11+'Ensemble Parameters'!$B$12*BS76</f>
        <v>96.4046875172745</v>
      </c>
      <c r="BU76" s="17" t="n">
        <f aca="false">'Ensemble Parameters'!$B$13*BS76</f>
        <v>-5.03343747581565</v>
      </c>
      <c r="BV76" s="18" t="n">
        <f aca="false">RANK(BT76,$BT$5:$BT$125,0)</f>
        <v>66</v>
      </c>
      <c r="BW76" s="15" t="n">
        <f aca="false">STDEV(BM76,BN76,BQ76,BR76)</f>
        <v>0.343138209724447</v>
      </c>
      <c r="BX76" s="19" t="str">
        <f aca="false">IF(BW76&lt;'Ensemble Parameters'!$B$14,"High",IF(BW76&lt;'Ensemble Parameters'!$B$15,"Moderate","Low"))</f>
        <v>Moderate</v>
      </c>
      <c r="BY76" s="19" t="str">
        <f aca="false">IF(BX76="Low","REVIEW — MODEL DISAGREEMENT","")</f>
        <v/>
      </c>
      <c r="BZ76" s="20" t="n">
        <v>4</v>
      </c>
    </row>
    <row r="77" customFormat="false" ht="15" hidden="false" customHeight="true" outlineLevel="0" collapsed="false">
      <c r="A77" s="7" t="s">
        <v>207</v>
      </c>
      <c r="B77" s="7" t="s">
        <v>234</v>
      </c>
      <c r="C77" s="7" t="s">
        <v>235</v>
      </c>
      <c r="D77" s="7" t="n">
        <v>30</v>
      </c>
      <c r="E77" s="7" t="s">
        <v>235</v>
      </c>
      <c r="F77" s="8" t="n">
        <v>19.610345282</v>
      </c>
      <c r="G77" s="9" t="n">
        <v>118</v>
      </c>
      <c r="H77" s="8" t="n">
        <v>4.56154876391068</v>
      </c>
      <c r="I77" s="8" t="n">
        <v>5.92569899026797</v>
      </c>
      <c r="J77" s="7" t="s">
        <v>83</v>
      </c>
      <c r="K77" s="7" t="s">
        <v>84</v>
      </c>
      <c r="L77" s="8" t="n">
        <v>-3.83114176859737</v>
      </c>
      <c r="M77" s="8" t="n">
        <v>96.1688582314026</v>
      </c>
      <c r="N77" s="9" t="n">
        <v>71</v>
      </c>
      <c r="O77" s="8" t="n">
        <v>0.532180952380952</v>
      </c>
      <c r="P77" s="8" t="n">
        <v>0.514895238095239</v>
      </c>
      <c r="Q77" s="7" t="s">
        <v>85</v>
      </c>
      <c r="R77" s="1" t="s">
        <v>86</v>
      </c>
      <c r="S77" s="10" t="n">
        <v>0.383392</v>
      </c>
      <c r="T77" s="11" t="n">
        <v>91</v>
      </c>
      <c r="U77" s="10" t="n">
        <v>0.37174</v>
      </c>
      <c r="V77" s="11" t="n">
        <v>84</v>
      </c>
      <c r="W77" s="10" t="n">
        <v>0.41127</v>
      </c>
      <c r="X77" s="11" t="n">
        <v>91</v>
      </c>
      <c r="Y77" s="10" t="n">
        <v>0.39713931567</v>
      </c>
      <c r="Z77" s="11" t="n">
        <v>84</v>
      </c>
      <c r="AA77" s="10" t="n">
        <v>0.1881</v>
      </c>
      <c r="AB77" s="10" t="n">
        <v>0.4398</v>
      </c>
      <c r="AC77" s="10" t="n">
        <v>0.4479</v>
      </c>
      <c r="AD77" s="10" t="n">
        <v>0.605</v>
      </c>
      <c r="AE77" s="10" t="n">
        <v>0.85</v>
      </c>
      <c r="AF77" s="10" t="n">
        <v>0.2523</v>
      </c>
      <c r="AG77" s="12" t="n">
        <v>11.7</v>
      </c>
      <c r="AH77" s="11" t="n">
        <v>-7</v>
      </c>
      <c r="AI77" s="1" t="s">
        <v>87</v>
      </c>
      <c r="AJ77" s="12" t="n">
        <v>3.24</v>
      </c>
      <c r="AK77" s="12" t="n">
        <v>3.49</v>
      </c>
      <c r="AL77" s="12" t="n">
        <v>4.22</v>
      </c>
      <c r="AM77" s="13" t="n">
        <v>-10.0762109444709</v>
      </c>
      <c r="AN77" s="11" t="n">
        <v>71</v>
      </c>
      <c r="AO77" s="11" t="n">
        <v>12</v>
      </c>
      <c r="AP77" s="14" t="s">
        <v>88</v>
      </c>
      <c r="AQ77" s="13" t="n">
        <v>-7.05334766112959</v>
      </c>
      <c r="AR77" s="11" t="n">
        <v>73</v>
      </c>
      <c r="AS77" s="13" t="n">
        <v>0.483707911303038</v>
      </c>
      <c r="AT77" s="13" t="n">
        <v>-6.56963974982656</v>
      </c>
      <c r="AU77" s="11" t="n">
        <v>71</v>
      </c>
      <c r="AV77" s="10"/>
      <c r="AW77" s="14" t="s">
        <v>89</v>
      </c>
      <c r="AX77" s="14" t="s">
        <v>90</v>
      </c>
      <c r="AY77" s="10" t="n">
        <v>-5.87048722314283</v>
      </c>
      <c r="AZ77" s="10" t="n">
        <v>94.1295127768572</v>
      </c>
      <c r="BA77" s="11" t="n">
        <v>80</v>
      </c>
      <c r="BB77" s="14" t="s">
        <v>91</v>
      </c>
      <c r="BC77" s="10"/>
      <c r="BD77" s="11"/>
      <c r="BE77" s="14" t="s">
        <v>92</v>
      </c>
      <c r="BF77" s="10" t="n">
        <v>0.00830014985718944</v>
      </c>
      <c r="BG77" s="11" t="n">
        <v>45</v>
      </c>
      <c r="BH77" s="11" t="n">
        <v>12</v>
      </c>
      <c r="BI77" s="11" t="n">
        <v>12</v>
      </c>
      <c r="BJ77" s="11" t="n">
        <v>0</v>
      </c>
      <c r="BK77" s="10"/>
      <c r="BL77" s="14" t="s">
        <v>93</v>
      </c>
      <c r="BM77" s="15" t="n">
        <f aca="false">(F77-'Ensemble Parameters'!$B$20)/'Ensemble Parameters'!$C$20</f>
        <v>-1.27063798104678</v>
      </c>
      <c r="BN77" s="15" t="n">
        <f aca="false">(L77-'Ensemble Parameters'!$B$21)/'Ensemble Parameters'!$C$21</f>
        <v>-0.401583879067675</v>
      </c>
      <c r="BO77" s="15" t="n">
        <f aca="false">(S77-'Ensemble Parameters'!$B$22)/'Ensemble Parameters'!$C$22</f>
        <v>-0.659245104000533</v>
      </c>
      <c r="BP77" s="15" t="n">
        <f aca="false">(W77-'Ensemble Parameters'!$B$23)/'Ensemble Parameters'!$C$23</f>
        <v>-0.605703937139179</v>
      </c>
      <c r="BQ77" s="15" t="n">
        <f aca="false">AVERAGE(BO77:BP77)</f>
        <v>-0.632474520569856</v>
      </c>
      <c r="BR77" s="15" t="n">
        <f aca="false">(AQ77-'Ensemble Parameters'!$B$24)/'Ensemble Parameters'!$C$24</f>
        <v>-0.462335248769729</v>
      </c>
      <c r="BS77" s="15" t="n">
        <f aca="false">BM77*'Ensemble Parameters'!$B$5+BN77*'Ensemble Parameters'!$B$6+BQ77*'Ensemble Parameters'!$B$8+BR77*'Ensemble Parameters'!$B$7</f>
        <v>-0.691757907363509</v>
      </c>
      <c r="BT77" s="16" t="n">
        <f aca="false">'Ensemble Parameters'!$B$11+'Ensemble Parameters'!$B$12*BS77</f>
        <v>93.0824209263649</v>
      </c>
      <c r="BU77" s="17" t="n">
        <f aca="false">'Ensemble Parameters'!$B$13*BS77</f>
        <v>-9.68461070308913</v>
      </c>
      <c r="BV77" s="18" t="n">
        <f aca="false">RANK(BT77,$BT$5:$BT$125,0)</f>
        <v>88</v>
      </c>
      <c r="BW77" s="15" t="n">
        <f aca="false">STDEV(BM77,BN77,BQ77,BR77)</f>
        <v>0.398100650016609</v>
      </c>
      <c r="BX77" s="19" t="str">
        <f aca="false">IF(BW77&lt;'Ensemble Parameters'!$B$14,"High",IF(BW77&lt;'Ensemble Parameters'!$B$15,"Moderate","Low"))</f>
        <v>Moderate</v>
      </c>
      <c r="BY77" s="19" t="str">
        <f aca="false">IF(BX77="Low","REVIEW — MODEL DISAGREEMENT","")</f>
        <v/>
      </c>
      <c r="BZ77" s="20" t="n">
        <v>4</v>
      </c>
    </row>
    <row r="78" customFormat="false" ht="15" hidden="false" customHeight="true" outlineLevel="0" collapsed="false">
      <c r="A78" s="7" t="s">
        <v>207</v>
      </c>
      <c r="B78" s="7" t="s">
        <v>236</v>
      </c>
      <c r="C78" s="7" t="s">
        <v>236</v>
      </c>
      <c r="D78" s="7" t="n">
        <v>31</v>
      </c>
      <c r="E78" s="7" t="s">
        <v>236</v>
      </c>
      <c r="F78" s="8" t="n">
        <v>21.410704423</v>
      </c>
      <c r="G78" s="9" t="n">
        <v>99</v>
      </c>
      <c r="H78" s="8" t="n">
        <v>4.43936469997579</v>
      </c>
      <c r="I78" s="8" t="n">
        <v>8.09261032307262</v>
      </c>
      <c r="J78" s="7" t="s">
        <v>83</v>
      </c>
      <c r="K78" s="7" t="s">
        <v>84</v>
      </c>
      <c r="L78" s="8" t="n">
        <v>-2.67640665488526</v>
      </c>
      <c r="M78" s="8" t="n">
        <v>97.3235933451147</v>
      </c>
      <c r="N78" s="9" t="n">
        <v>57</v>
      </c>
      <c r="O78" s="8" t="n">
        <v>0.608819047619048</v>
      </c>
      <c r="P78" s="8" t="n">
        <v>1.74110476190476</v>
      </c>
      <c r="Q78" s="7" t="s">
        <v>85</v>
      </c>
      <c r="R78" s="1" t="s">
        <v>86</v>
      </c>
      <c r="S78" s="10" t="n">
        <v>0.424513</v>
      </c>
      <c r="T78" s="11" t="n">
        <v>65</v>
      </c>
      <c r="U78" s="10" t="n">
        <v>0.433561</v>
      </c>
      <c r="V78" s="11" t="n">
        <v>60</v>
      </c>
      <c r="W78" s="10" t="n">
        <v>0.445915</v>
      </c>
      <c r="X78" s="11" t="n">
        <v>65</v>
      </c>
      <c r="Y78" s="10" t="n">
        <v>0.453060342265</v>
      </c>
      <c r="Z78" s="11" t="n">
        <v>60</v>
      </c>
      <c r="AA78" s="10" t="n">
        <v>0.1826</v>
      </c>
      <c r="AB78" s="10" t="n">
        <v>0.6999</v>
      </c>
      <c r="AC78" s="10" t="n">
        <v>0.5425</v>
      </c>
      <c r="AD78" s="10" t="n">
        <v>0.739</v>
      </c>
      <c r="AE78" s="10" t="n">
        <v>0.325</v>
      </c>
      <c r="AF78" s="10" t="n">
        <v>0.5263</v>
      </c>
      <c r="AG78" s="12" t="n">
        <v>34.8</v>
      </c>
      <c r="AH78" s="11" t="n">
        <v>-5</v>
      </c>
      <c r="AI78" s="1" t="s">
        <v>87</v>
      </c>
      <c r="AJ78" s="12" t="n">
        <v>4.41</v>
      </c>
      <c r="AK78" s="12" t="n">
        <v>4.58</v>
      </c>
      <c r="AL78" s="12" t="n">
        <v>4.18</v>
      </c>
      <c r="AM78" s="13" t="n">
        <v>-7.93471154975089</v>
      </c>
      <c r="AN78" s="11" t="n">
        <v>58</v>
      </c>
      <c r="AO78" s="11" t="n">
        <v>12</v>
      </c>
      <c r="AP78" s="14" t="s">
        <v>88</v>
      </c>
      <c r="AQ78" s="13" t="n">
        <v>-5.55429808482562</v>
      </c>
      <c r="AR78" s="11" t="n">
        <v>60</v>
      </c>
      <c r="AS78" s="13" t="n">
        <v>1.36702970915224</v>
      </c>
      <c r="AT78" s="13" t="n">
        <v>-4.18726837567338</v>
      </c>
      <c r="AU78" s="11" t="n">
        <v>53</v>
      </c>
      <c r="AV78" s="10"/>
      <c r="AW78" s="14" t="s">
        <v>89</v>
      </c>
      <c r="AX78" s="14" t="s">
        <v>90</v>
      </c>
      <c r="AY78" s="10" t="n">
        <v>-2.52375210943071</v>
      </c>
      <c r="AZ78" s="10" t="n">
        <v>97.4762478905693</v>
      </c>
      <c r="BA78" s="11" t="n">
        <v>58</v>
      </c>
      <c r="BB78" s="14" t="s">
        <v>91</v>
      </c>
      <c r="BC78" s="10"/>
      <c r="BD78" s="11"/>
      <c r="BE78" s="14" t="s">
        <v>92</v>
      </c>
      <c r="BF78" s="10" t="n">
        <v>0.00835875000968998</v>
      </c>
      <c r="BG78" s="11" t="n">
        <v>12</v>
      </c>
      <c r="BH78" s="11" t="n">
        <v>12</v>
      </c>
      <c r="BI78" s="11" t="n">
        <v>12</v>
      </c>
      <c r="BJ78" s="11" t="n">
        <v>0</v>
      </c>
      <c r="BK78" s="10"/>
      <c r="BL78" s="14" t="s">
        <v>93</v>
      </c>
      <c r="BM78" s="15" t="n">
        <f aca="false">(F78-'Ensemble Parameters'!$B$20)/'Ensemble Parameters'!$C$20</f>
        <v>-0.857644163901506</v>
      </c>
      <c r="BN78" s="15" t="n">
        <f aca="false">(L78-'Ensemble Parameters'!$B$21)/'Ensemble Parameters'!$C$21</f>
        <v>-0.280543459717718</v>
      </c>
      <c r="BO78" s="15" t="n">
        <f aca="false">(S78-'Ensemble Parameters'!$B$22)/'Ensemble Parameters'!$C$22</f>
        <v>-0.372482153836058</v>
      </c>
      <c r="BP78" s="15" t="n">
        <f aca="false">(W78-'Ensemble Parameters'!$B$23)/'Ensemble Parameters'!$C$23</f>
        <v>-0.33424366821461</v>
      </c>
      <c r="BQ78" s="15" t="n">
        <f aca="false">AVERAGE(BO78:BP78)</f>
        <v>-0.353362911025334</v>
      </c>
      <c r="BR78" s="15" t="n">
        <f aca="false">(AQ78-'Ensemble Parameters'!$B$24)/'Ensemble Parameters'!$C$24</f>
        <v>-0.362868030650192</v>
      </c>
      <c r="BS78" s="15" t="n">
        <f aca="false">BM78*'Ensemble Parameters'!$B$5+BN78*'Ensemble Parameters'!$B$6+BQ78*'Ensemble Parameters'!$B$8+BR78*'Ensemble Parameters'!$B$7</f>
        <v>-0.463604641323688</v>
      </c>
      <c r="BT78" s="16" t="n">
        <f aca="false">'Ensemble Parameters'!$B$11+'Ensemble Parameters'!$B$12*BS78</f>
        <v>95.3639535867631</v>
      </c>
      <c r="BU78" s="17" t="n">
        <f aca="false">'Ensemble Parameters'!$B$13*BS78</f>
        <v>-6.49046497853163</v>
      </c>
      <c r="BV78" s="18" t="n">
        <f aca="false">RANK(BT78,$BT$5:$BT$125,0)</f>
        <v>72</v>
      </c>
      <c r="BW78" s="15" t="n">
        <f aca="false">STDEV(BM78,BN78,BQ78,BR78)</f>
        <v>0.265254371873168</v>
      </c>
      <c r="BX78" s="19" t="str">
        <f aca="false">IF(BW78&lt;'Ensemble Parameters'!$B$14,"High",IF(BW78&lt;'Ensemble Parameters'!$B$15,"Moderate","Low"))</f>
        <v>High</v>
      </c>
      <c r="BY78" s="19" t="str">
        <f aca="false">IF(BX78="Low","REVIEW — MODEL DISAGREEMENT","")</f>
        <v/>
      </c>
      <c r="BZ78" s="20" t="n">
        <v>4</v>
      </c>
    </row>
    <row r="79" customFormat="false" ht="15" hidden="false" customHeight="true" outlineLevel="0" collapsed="false">
      <c r="A79" s="7" t="s">
        <v>207</v>
      </c>
      <c r="B79" s="7" t="s">
        <v>237</v>
      </c>
      <c r="C79" s="7" t="s">
        <v>237</v>
      </c>
      <c r="D79" s="7" t="n">
        <v>32</v>
      </c>
      <c r="E79" s="7" t="s">
        <v>237</v>
      </c>
      <c r="F79" s="8" t="n">
        <v>30.059521208</v>
      </c>
      <c r="G79" s="9" t="n">
        <v>21</v>
      </c>
      <c r="H79" s="8" t="n">
        <v>4.238808763539</v>
      </c>
      <c r="I79" s="8" t="n">
        <v>17.343094917383</v>
      </c>
      <c r="J79" s="7" t="s">
        <v>83</v>
      </c>
      <c r="K79" s="7" t="s">
        <v>84</v>
      </c>
      <c r="L79" s="8" t="n">
        <v>15.1930211258604</v>
      </c>
      <c r="M79" s="8" t="n">
        <v>115.19302112586</v>
      </c>
      <c r="N79" s="9" t="n">
        <v>15</v>
      </c>
      <c r="O79" s="8" t="n">
        <v>0.695695238095238</v>
      </c>
      <c r="P79" s="8" t="n">
        <v>3.13112380952381</v>
      </c>
      <c r="Q79" s="7" t="s">
        <v>85</v>
      </c>
      <c r="R79" s="1" t="s">
        <v>86</v>
      </c>
      <c r="S79" s="10" t="n">
        <v>0.710997</v>
      </c>
      <c r="T79" s="11" t="n">
        <v>13</v>
      </c>
      <c r="U79" s="10" t="n">
        <v>0.708553</v>
      </c>
      <c r="V79" s="11" t="n">
        <v>13</v>
      </c>
      <c r="W79" s="10" t="n">
        <v>0.695715</v>
      </c>
      <c r="X79" s="11" t="n">
        <v>12</v>
      </c>
      <c r="Y79" s="10" t="n">
        <v>0.694629220865</v>
      </c>
      <c r="Z79" s="11" t="n">
        <v>13</v>
      </c>
      <c r="AA79" s="10" t="n">
        <v>0.7311</v>
      </c>
      <c r="AB79" s="10" t="n">
        <v>0.7049</v>
      </c>
      <c r="AC79" s="10" t="n">
        <v>0.5334</v>
      </c>
      <c r="AD79" s="10" t="n">
        <v>0.805</v>
      </c>
      <c r="AE79" s="10" t="n">
        <v>0.85</v>
      </c>
      <c r="AF79" s="10" t="n">
        <v>0.6835</v>
      </c>
      <c r="AG79" s="12" t="n">
        <v>32.02</v>
      </c>
      <c r="AH79" s="11" t="n">
        <v>0</v>
      </c>
      <c r="AI79" s="1" t="s">
        <v>87</v>
      </c>
      <c r="AJ79" s="12" t="n">
        <v>8.62</v>
      </c>
      <c r="AK79" s="12" t="n">
        <v>8.4</v>
      </c>
      <c r="AL79" s="12" t="n">
        <v>8.08</v>
      </c>
      <c r="AM79" s="13" t="n">
        <v>30.9770958479348</v>
      </c>
      <c r="AN79" s="11" t="n">
        <v>18</v>
      </c>
      <c r="AO79" s="11" t="n">
        <v>13</v>
      </c>
      <c r="AP79" s="14" t="s">
        <v>88</v>
      </c>
      <c r="AQ79" s="13" t="n">
        <v>21.6839670935544</v>
      </c>
      <c r="AR79" s="11" t="n">
        <v>18</v>
      </c>
      <c r="AS79" s="13" t="n">
        <v>0.725756151318674</v>
      </c>
      <c r="AT79" s="13" t="n">
        <v>22.409723244873</v>
      </c>
      <c r="AU79" s="11" t="n">
        <v>18</v>
      </c>
      <c r="AV79" s="10"/>
      <c r="AW79" s="14" t="s">
        <v>89</v>
      </c>
      <c r="AX79" s="14" t="s">
        <v>90</v>
      </c>
      <c r="AY79" s="10" t="n">
        <v>16.6032756713149</v>
      </c>
      <c r="AZ79" s="10" t="n">
        <v>116.603275671315</v>
      </c>
      <c r="BA79" s="11" t="n">
        <v>14</v>
      </c>
      <c r="BB79" s="14" t="s">
        <v>91</v>
      </c>
      <c r="BC79" s="10"/>
      <c r="BD79" s="11"/>
      <c r="BE79" s="14" t="s">
        <v>92</v>
      </c>
      <c r="BF79" s="10" t="n">
        <v>0.00836558705145815</v>
      </c>
      <c r="BG79" s="11" t="n">
        <v>8</v>
      </c>
      <c r="BH79" s="11" t="n">
        <v>12</v>
      </c>
      <c r="BI79" s="11" t="n">
        <v>12</v>
      </c>
      <c r="BJ79" s="11" t="n">
        <v>0</v>
      </c>
      <c r="BK79" s="10"/>
      <c r="BL79" s="14" t="s">
        <v>93</v>
      </c>
      <c r="BM79" s="15" t="n">
        <f aca="false">(F79-'Ensemble Parameters'!$B$20)/'Ensemble Parameters'!$C$20</f>
        <v>1.12635323777428</v>
      </c>
      <c r="BN79" s="15" t="n">
        <f aca="false">(L79-'Ensemble Parameters'!$B$21)/'Ensemble Parameters'!$C$21</f>
        <v>1.59254674637475</v>
      </c>
      <c r="BO79" s="15" t="n">
        <f aca="false">(S79-'Ensemble Parameters'!$B$22)/'Ensemble Parameters'!$C$22</f>
        <v>1.62535342931901</v>
      </c>
      <c r="BP79" s="15" t="n">
        <f aca="false">(W79-'Ensemble Parameters'!$B$23)/'Ensemble Parameters'!$C$23</f>
        <v>1.62305969958326</v>
      </c>
      <c r="BQ79" s="15" t="n">
        <f aca="false">AVERAGE(BO79:BP79)</f>
        <v>1.62420656445113</v>
      </c>
      <c r="BR79" s="15" t="n">
        <f aca="false">(AQ79-'Ensemble Parameters'!$B$24)/'Ensemble Parameters'!$C$24</f>
        <v>1.4444867803733</v>
      </c>
      <c r="BS79" s="15" t="n">
        <f aca="false">BM79*'Ensemble Parameters'!$B$5+BN79*'Ensemble Parameters'!$B$6+BQ79*'Ensemble Parameters'!$B$8+BR79*'Ensemble Parameters'!$B$7</f>
        <v>1.44689833224337</v>
      </c>
      <c r="BT79" s="16" t="n">
        <f aca="false">'Ensemble Parameters'!$B$11+'Ensemble Parameters'!$B$12*BS79</f>
        <v>114.468983322434</v>
      </c>
      <c r="BU79" s="17" t="n">
        <f aca="false">'Ensemble Parameters'!$B$13*BS79</f>
        <v>20.2565766514071</v>
      </c>
      <c r="BV79" s="18" t="n">
        <f aca="false">RANK(BT79,$BT$5:$BT$125,0)</f>
        <v>17</v>
      </c>
      <c r="BW79" s="15" t="n">
        <f aca="false">STDEV(BM79,BN79,BQ79,BR79)</f>
        <v>0.227600998034024</v>
      </c>
      <c r="BX79" s="19" t="str">
        <f aca="false">IF(BW79&lt;'Ensemble Parameters'!$B$14,"High",IF(BW79&lt;'Ensemble Parameters'!$B$15,"Moderate","Low"))</f>
        <v>High</v>
      </c>
      <c r="BY79" s="19" t="str">
        <f aca="false">IF(BX79="Low","REVIEW — MODEL DISAGREEMENT","")</f>
        <v/>
      </c>
      <c r="BZ79" s="20" t="n">
        <v>4</v>
      </c>
    </row>
    <row r="80" customFormat="false" ht="15" hidden="false" customHeight="true" outlineLevel="0" collapsed="false">
      <c r="A80" s="7" t="s">
        <v>207</v>
      </c>
      <c r="B80" s="7" t="s">
        <v>238</v>
      </c>
      <c r="C80" s="7" t="s">
        <v>239</v>
      </c>
      <c r="D80" s="7" t="n">
        <v>33</v>
      </c>
      <c r="E80" s="7" t="s">
        <v>239</v>
      </c>
      <c r="F80" s="8" t="n">
        <v>28.652643708</v>
      </c>
      <c r="G80" s="9" t="n">
        <v>27</v>
      </c>
      <c r="H80" s="8" t="n">
        <v>4.29637211694101</v>
      </c>
      <c r="I80" s="8" t="n">
        <v>15.763527357177</v>
      </c>
      <c r="J80" s="7" t="s">
        <v>83</v>
      </c>
      <c r="K80" s="7" t="s">
        <v>84</v>
      </c>
      <c r="L80" s="8" t="n">
        <v>12.7181980573532</v>
      </c>
      <c r="M80" s="8" t="n">
        <v>112.718198057353</v>
      </c>
      <c r="N80" s="9" t="n">
        <v>21</v>
      </c>
      <c r="O80" s="8" t="n">
        <v>0.669419047619048</v>
      </c>
      <c r="P80" s="8" t="n">
        <v>2.71070476190476</v>
      </c>
      <c r="Q80" s="7" t="s">
        <v>85</v>
      </c>
      <c r="R80" s="1" t="s">
        <v>86</v>
      </c>
      <c r="S80" s="10" t="n">
        <v>0.662142</v>
      </c>
      <c r="T80" s="11" t="n">
        <v>19</v>
      </c>
      <c r="U80" s="10" t="n">
        <v>0.656521</v>
      </c>
      <c r="V80" s="11" t="n">
        <v>19</v>
      </c>
      <c r="W80" s="10" t="n">
        <v>0.651445</v>
      </c>
      <c r="X80" s="11" t="n">
        <v>19</v>
      </c>
      <c r="Y80" s="10" t="n">
        <v>0.646774327495</v>
      </c>
      <c r="Z80" s="11" t="n">
        <v>19</v>
      </c>
      <c r="AA80" s="10" t="n">
        <v>0.6526</v>
      </c>
      <c r="AB80" s="10" t="n">
        <v>0.6938</v>
      </c>
      <c r="AC80" s="10" t="n">
        <v>0.4659</v>
      </c>
      <c r="AD80" s="10" t="n">
        <v>0.678</v>
      </c>
      <c r="AE80" s="10" t="n">
        <v>1</v>
      </c>
      <c r="AF80" s="10" t="n">
        <v>0.5989</v>
      </c>
      <c r="AG80" s="12" t="n">
        <v>15.14</v>
      </c>
      <c r="AH80" s="11" t="n">
        <v>0</v>
      </c>
      <c r="AI80" s="1" t="s">
        <v>87</v>
      </c>
      <c r="AJ80" s="12" t="n">
        <v>8.03</v>
      </c>
      <c r="AK80" s="12" t="n">
        <v>7.85</v>
      </c>
      <c r="AL80" s="12" t="n">
        <v>8.24</v>
      </c>
      <c r="AM80" s="13" t="n">
        <v>26.3805513220614</v>
      </c>
      <c r="AN80" s="11" t="n">
        <v>21</v>
      </c>
      <c r="AO80" s="11" t="n">
        <v>13</v>
      </c>
      <c r="AP80" s="14" t="s">
        <v>88</v>
      </c>
      <c r="AQ80" s="13" t="n">
        <v>18.466385925443</v>
      </c>
      <c r="AR80" s="11" t="n">
        <v>21</v>
      </c>
      <c r="AS80" s="13" t="n">
        <v>0.616444305345866</v>
      </c>
      <c r="AT80" s="13" t="n">
        <v>19.0828302307888</v>
      </c>
      <c r="AU80" s="11" t="n">
        <v>21</v>
      </c>
      <c r="AV80" s="10"/>
      <c r="AW80" s="14" t="s">
        <v>89</v>
      </c>
      <c r="AX80" s="14" t="s">
        <v>90</v>
      </c>
      <c r="AY80" s="10" t="n">
        <v>13.4516526028078</v>
      </c>
      <c r="AZ80" s="10" t="n">
        <v>113.451652602808</v>
      </c>
      <c r="BA80" s="11" t="n">
        <v>21</v>
      </c>
      <c r="BB80" s="14" t="s">
        <v>91</v>
      </c>
      <c r="BC80" s="10"/>
      <c r="BD80" s="11"/>
      <c r="BE80" s="14" t="s">
        <v>92</v>
      </c>
      <c r="BF80" s="10" t="n">
        <v>0.00836834059572126</v>
      </c>
      <c r="BG80" s="11" t="n">
        <v>7</v>
      </c>
      <c r="BH80" s="11" t="n">
        <v>12</v>
      </c>
      <c r="BI80" s="11" t="n">
        <v>12</v>
      </c>
      <c r="BJ80" s="11" t="n">
        <v>0</v>
      </c>
      <c r="BK80" s="10"/>
      <c r="BL80" s="14" t="s">
        <v>93</v>
      </c>
      <c r="BM80" s="15" t="n">
        <f aca="false">(F80-'Ensemble Parameters'!$B$20)/'Ensemble Parameters'!$C$20</f>
        <v>0.803622236081988</v>
      </c>
      <c r="BN80" s="15" t="n">
        <f aca="false">(L80-'Ensemble Parameters'!$B$21)/'Ensemble Parameters'!$C$21</f>
        <v>1.333133467544</v>
      </c>
      <c r="BO80" s="15" t="n">
        <f aca="false">(S80-'Ensemble Parameters'!$B$22)/'Ensemble Parameters'!$C$22</f>
        <v>1.28465636625426</v>
      </c>
      <c r="BP80" s="15" t="n">
        <f aca="false">(W80-'Ensemble Parameters'!$B$23)/'Ensemble Parameters'!$C$23</f>
        <v>1.27618291778818</v>
      </c>
      <c r="BQ80" s="15" t="n">
        <f aca="false">AVERAGE(BO80:BP80)</f>
        <v>1.28041964202122</v>
      </c>
      <c r="BR80" s="15" t="n">
        <f aca="false">(AQ80-'Ensemble Parameters'!$B$24)/'Ensemble Parameters'!$C$24</f>
        <v>1.23098893952474</v>
      </c>
      <c r="BS80" s="15" t="n">
        <f aca="false">BM80*'Ensemble Parameters'!$B$5+BN80*'Ensemble Parameters'!$B$6+BQ80*'Ensemble Parameters'!$B$8+BR80*'Ensemble Parameters'!$B$7</f>
        <v>1.16204107129299</v>
      </c>
      <c r="BT80" s="16" t="n">
        <f aca="false">'Ensemble Parameters'!$B$11+'Ensemble Parameters'!$B$12*BS80</f>
        <v>111.62041071293</v>
      </c>
      <c r="BU80" s="17" t="n">
        <f aca="false">'Ensemble Parameters'!$B$13*BS80</f>
        <v>16.2685749981018</v>
      </c>
      <c r="BV80" s="18" t="n">
        <f aca="false">RANK(BT80,$BT$5:$BT$125,0)</f>
        <v>21</v>
      </c>
      <c r="BW80" s="15" t="n">
        <f aca="false">STDEV(BM80,BN80,BQ80,BR80)</f>
        <v>0.242558559273347</v>
      </c>
      <c r="BX80" s="19" t="str">
        <f aca="false">IF(BW80&lt;'Ensemble Parameters'!$B$14,"High",IF(BW80&lt;'Ensemble Parameters'!$B$15,"Moderate","Low"))</f>
        <v>High</v>
      </c>
      <c r="BY80" s="19" t="str">
        <f aca="false">IF(BX80="Low","REVIEW — MODEL DISAGREEMENT","")</f>
        <v/>
      </c>
      <c r="BZ80" s="20" t="n">
        <v>4</v>
      </c>
    </row>
    <row r="81" customFormat="false" ht="15" hidden="false" customHeight="true" outlineLevel="0" collapsed="false">
      <c r="A81" s="7" t="s">
        <v>207</v>
      </c>
      <c r="B81" s="7" t="s">
        <v>240</v>
      </c>
      <c r="C81" s="7" t="s">
        <v>241</v>
      </c>
      <c r="D81" s="7" t="n">
        <v>34</v>
      </c>
      <c r="E81" s="7" t="s">
        <v>241</v>
      </c>
      <c r="F81" s="8" t="n">
        <v>23.9373482</v>
      </c>
      <c r="G81" s="9" t="n">
        <v>60</v>
      </c>
      <c r="H81" s="8" t="n">
        <v>4.31697325080826</v>
      </c>
      <c r="I81" s="8" t="n">
        <v>10.9864284475752</v>
      </c>
      <c r="J81" s="7" t="s">
        <v>83</v>
      </c>
      <c r="K81" s="7" t="s">
        <v>84</v>
      </c>
      <c r="L81" s="8" t="n">
        <v>1.13390402298116</v>
      </c>
      <c r="M81" s="8" t="n">
        <v>101.133904022981</v>
      </c>
      <c r="N81" s="9" t="n">
        <v>38</v>
      </c>
      <c r="O81" s="8" t="n">
        <v>0.622095238095238</v>
      </c>
      <c r="P81" s="8" t="n">
        <v>1.95352380952381</v>
      </c>
      <c r="Q81" s="7" t="s">
        <v>85</v>
      </c>
      <c r="R81" s="1" t="s">
        <v>86</v>
      </c>
      <c r="S81" s="10" t="n">
        <v>0.507112</v>
      </c>
      <c r="T81" s="11" t="n">
        <v>41</v>
      </c>
      <c r="U81" s="10" t="n">
        <v>0.504791</v>
      </c>
      <c r="V81" s="11" t="n">
        <v>40</v>
      </c>
      <c r="W81" s="10" t="n">
        <v>0.52747</v>
      </c>
      <c r="X81" s="11" t="n">
        <v>40</v>
      </c>
      <c r="Y81" s="10" t="n">
        <v>0.52333932817</v>
      </c>
      <c r="Z81" s="11" t="n">
        <v>40</v>
      </c>
      <c r="AA81" s="10" t="n">
        <v>0.3562</v>
      </c>
      <c r="AB81" s="10" t="n">
        <v>0.5115</v>
      </c>
      <c r="AC81" s="10" t="n">
        <v>0.512</v>
      </c>
      <c r="AD81" s="10" t="n">
        <v>0.725</v>
      </c>
      <c r="AE81" s="10" t="n">
        <v>1</v>
      </c>
      <c r="AF81" s="10" t="n">
        <v>0.481</v>
      </c>
      <c r="AG81" s="12" t="n">
        <v>26</v>
      </c>
      <c r="AH81" s="11" t="n">
        <v>-1</v>
      </c>
      <c r="AI81" s="1" t="s">
        <v>87</v>
      </c>
      <c r="AJ81" s="12" t="n">
        <v>5.97</v>
      </c>
      <c r="AK81" s="12" t="n">
        <v>6.1</v>
      </c>
      <c r="AL81" s="12" t="n">
        <v>6.61</v>
      </c>
      <c r="AM81" s="13" t="n">
        <v>-1.20282332439372</v>
      </c>
      <c r="AN81" s="11" t="n">
        <v>42</v>
      </c>
      <c r="AO81" s="11" t="n">
        <v>12</v>
      </c>
      <c r="AP81" s="14" t="s">
        <v>88</v>
      </c>
      <c r="AQ81" s="13" t="n">
        <v>-0.8419763270756</v>
      </c>
      <c r="AR81" s="11" t="n">
        <v>42</v>
      </c>
      <c r="AS81" s="13" t="n">
        <v>1.22292192454016</v>
      </c>
      <c r="AT81" s="13" t="n">
        <v>0.380945597464558</v>
      </c>
      <c r="AU81" s="11" t="n">
        <v>39</v>
      </c>
      <c r="AV81" s="10"/>
      <c r="AW81" s="14" t="s">
        <v>89</v>
      </c>
      <c r="AX81" s="14" t="s">
        <v>90</v>
      </c>
      <c r="AY81" s="10" t="n">
        <v>0.924158568435703</v>
      </c>
      <c r="AZ81" s="10" t="n">
        <v>100.924158568436</v>
      </c>
      <c r="BA81" s="11" t="n">
        <v>38</v>
      </c>
      <c r="BB81" s="14" t="s">
        <v>91</v>
      </c>
      <c r="BC81" s="10"/>
      <c r="BD81" s="11"/>
      <c r="BE81" s="14" t="s">
        <v>92</v>
      </c>
      <c r="BF81" s="10" t="n">
        <v>0.00830843588943318</v>
      </c>
      <c r="BG81" s="11" t="n">
        <v>34</v>
      </c>
      <c r="BH81" s="11" t="n">
        <v>12</v>
      </c>
      <c r="BI81" s="11" t="n">
        <v>12</v>
      </c>
      <c r="BJ81" s="11" t="n">
        <v>0</v>
      </c>
      <c r="BK81" s="10"/>
      <c r="BL81" s="14" t="s">
        <v>93</v>
      </c>
      <c r="BM81" s="15" t="n">
        <f aca="false">(F81-'Ensemble Parameters'!$B$20)/'Ensemble Parameters'!$C$20</f>
        <v>-0.278044108409258</v>
      </c>
      <c r="BN81" s="15" t="n">
        <f aca="false">(L81-'Ensemble Parameters'!$B$21)/'Ensemble Parameters'!$C$21</f>
        <v>0.118856884851309</v>
      </c>
      <c r="BO81" s="15" t="n">
        <f aca="false">(S81-'Ensemble Parameters'!$B$22)/'Ensemble Parameters'!$C$22</f>
        <v>0.203533335102331</v>
      </c>
      <c r="BP81" s="15" t="n">
        <f aca="false">(W81-'Ensemble Parameters'!$B$23)/'Ensemble Parameters'!$C$23</f>
        <v>0.304779054606668</v>
      </c>
      <c r="BQ81" s="15" t="n">
        <f aca="false">AVERAGE(BO81:BP81)</f>
        <v>0.2541561948545</v>
      </c>
      <c r="BR81" s="15" t="n">
        <f aca="false">(AQ81-'Ensemble Parameters'!$B$24)/'Ensemble Parameters'!$C$24</f>
        <v>-0.0501888881209423</v>
      </c>
      <c r="BS81" s="15" t="n">
        <f aca="false">BM81*'Ensemble Parameters'!$B$5+BN81*'Ensemble Parameters'!$B$6+BQ81*'Ensemble Parameters'!$B$8+BR81*'Ensemble Parameters'!$B$7</f>
        <v>0.0111950207939019</v>
      </c>
      <c r="BT81" s="16" t="n">
        <f aca="false">'Ensemble Parameters'!$B$11+'Ensemble Parameters'!$B$12*BS81</f>
        <v>100.111950207939</v>
      </c>
      <c r="BU81" s="17" t="n">
        <f aca="false">'Ensemble Parameters'!$B$13*BS81</f>
        <v>0.156730291114626</v>
      </c>
      <c r="BV81" s="18" t="n">
        <f aca="false">RANK(BT81,$BT$5:$BT$125,0)</f>
        <v>43</v>
      </c>
      <c r="BW81" s="15" t="n">
        <f aca="false">STDEV(BM81,BN81,BQ81,BR81)</f>
        <v>0.229527389221917</v>
      </c>
      <c r="BX81" s="19" t="str">
        <f aca="false">IF(BW81&lt;'Ensemble Parameters'!$B$14,"High",IF(BW81&lt;'Ensemble Parameters'!$B$15,"Moderate","Low"))</f>
        <v>High</v>
      </c>
      <c r="BY81" s="19" t="str">
        <f aca="false">IF(BX81="Low","REVIEW — MODEL DISAGREEMENT","")</f>
        <v/>
      </c>
      <c r="BZ81" s="20" t="n">
        <v>4</v>
      </c>
    </row>
    <row r="82" customFormat="false" ht="15" hidden="false" customHeight="true" outlineLevel="0" collapsed="false">
      <c r="A82" s="7" t="s">
        <v>242</v>
      </c>
      <c r="B82" s="7" t="s">
        <v>243</v>
      </c>
      <c r="C82" s="7" t="s">
        <v>244</v>
      </c>
      <c r="D82" s="7" t="n">
        <v>112</v>
      </c>
      <c r="E82" s="7" t="s">
        <v>244</v>
      </c>
      <c r="F82" s="8" t="n">
        <v>22.828047126</v>
      </c>
      <c r="G82" s="9" t="n">
        <v>75</v>
      </c>
      <c r="H82" s="8" t="n">
        <v>3.97444676577399</v>
      </c>
      <c r="I82" s="8" t="n">
        <v>10.904706828678</v>
      </c>
      <c r="J82" s="7" t="s">
        <v>83</v>
      </c>
      <c r="K82" s="7" t="s">
        <v>84</v>
      </c>
      <c r="L82" s="8" t="n">
        <v>-9.18210108433707</v>
      </c>
      <c r="M82" s="8" t="n">
        <v>90.8178989156629</v>
      </c>
      <c r="N82" s="9" t="n">
        <v>103</v>
      </c>
      <c r="O82" s="8" t="n">
        <v>0.462590476190476</v>
      </c>
      <c r="P82" s="8" t="n">
        <v>-0.598552380952381</v>
      </c>
      <c r="Q82" s="7" t="s">
        <v>245</v>
      </c>
      <c r="R82" s="1" t="s">
        <v>86</v>
      </c>
      <c r="S82" s="10" t="n">
        <v>0.325377</v>
      </c>
      <c r="T82" s="11" t="n">
        <v>109</v>
      </c>
      <c r="U82" s="10" t="n">
        <v>0.325377</v>
      </c>
      <c r="V82" s="11" t="n">
        <v>107</v>
      </c>
      <c r="W82" s="10" t="n">
        <v>0.344205</v>
      </c>
      <c r="X82" s="11" t="n">
        <v>110</v>
      </c>
      <c r="Y82" s="10" t="n">
        <v>0.344205</v>
      </c>
      <c r="Z82" s="11" t="n">
        <v>107</v>
      </c>
      <c r="AA82" s="10" t="n">
        <v>0.1453</v>
      </c>
      <c r="AB82" s="10" t="n">
        <v>0.5</v>
      </c>
      <c r="AC82" s="10" t="n">
        <v>0.3174</v>
      </c>
      <c r="AD82" s="10" t="n">
        <v>0.39</v>
      </c>
      <c r="AE82" s="10" t="n">
        <v>0.75</v>
      </c>
      <c r="AF82" s="10" t="s">
        <v>246</v>
      </c>
      <c r="AG82" s="12" t="n">
        <v>0</v>
      </c>
      <c r="AH82" s="11" t="n">
        <v>-2</v>
      </c>
      <c r="AI82" s="1" t="s">
        <v>87</v>
      </c>
      <c r="AJ82" s="12" t="n">
        <v>5.12</v>
      </c>
      <c r="AK82" s="12" t="n">
        <v>5.2</v>
      </c>
      <c r="AL82" s="12" t="n">
        <v>6.01</v>
      </c>
      <c r="AM82" s="13" t="n">
        <v>-18.0648352616881</v>
      </c>
      <c r="AN82" s="11" t="n">
        <v>96</v>
      </c>
      <c r="AO82" s="11" t="n">
        <v>12</v>
      </c>
      <c r="AP82" s="14" t="s">
        <v>88</v>
      </c>
      <c r="AQ82" s="13" t="n">
        <v>-12.6453846831817</v>
      </c>
      <c r="AR82" s="11" t="n">
        <v>98</v>
      </c>
      <c r="AS82" s="13" t="n">
        <v>-0.589171454486984</v>
      </c>
      <c r="AT82" s="13" t="n">
        <v>-13.2345561376687</v>
      </c>
      <c r="AU82" s="11" t="n">
        <v>101</v>
      </c>
      <c r="AV82" s="10"/>
      <c r="AW82" s="14" t="s">
        <v>89</v>
      </c>
      <c r="AX82" s="14" t="s">
        <v>90</v>
      </c>
      <c r="AY82" s="10" t="n">
        <v>-9.23984653888252</v>
      </c>
      <c r="AZ82" s="10" t="n">
        <v>90.7601534611175</v>
      </c>
      <c r="BA82" s="11" t="n">
        <v>100</v>
      </c>
      <c r="BB82" s="14" t="s">
        <v>91</v>
      </c>
      <c r="BC82" s="10"/>
      <c r="BD82" s="11"/>
      <c r="BE82" s="14" t="s">
        <v>92</v>
      </c>
      <c r="BF82" s="10" t="n">
        <v>0.00828212922208133</v>
      </c>
      <c r="BG82" s="11" t="n">
        <v>69</v>
      </c>
      <c r="BH82" s="11" t="n">
        <v>12</v>
      </c>
      <c r="BI82" s="11" t="n">
        <v>12</v>
      </c>
      <c r="BJ82" s="11" t="n">
        <v>0</v>
      </c>
      <c r="BK82" s="10"/>
      <c r="BL82" s="14" t="s">
        <v>93</v>
      </c>
      <c r="BM82" s="15" t="n">
        <f aca="false">(F82-'Ensemble Parameters'!$B$20)/'Ensemble Parameters'!$C$20</f>
        <v>-0.532512494455911</v>
      </c>
      <c r="BN82" s="15" t="n">
        <f aca="false">(L82-'Ensemble Parameters'!$B$21)/'Ensemble Parameters'!$C$21</f>
        <v>-0.962476461107202</v>
      </c>
      <c r="BO82" s="15" t="n">
        <f aca="false">(S82-'Ensemble Parameters'!$B$22)/'Ensemble Parameters'!$C$22</f>
        <v>-1.06382068712818</v>
      </c>
      <c r="BP82" s="15" t="n">
        <f aca="false">(W82-'Ensemble Parameters'!$B$23)/'Ensemble Parameters'!$C$23</f>
        <v>-1.13119052785721</v>
      </c>
      <c r="BQ82" s="15" t="n">
        <f aca="false">AVERAGE(BO82:BP82)</f>
        <v>-1.0975056074927</v>
      </c>
      <c r="BR82" s="15" t="n">
        <f aca="false">(AQ82-'Ensemble Parameters'!$B$24)/'Ensemble Parameters'!$C$24</f>
        <v>-0.833386596902191</v>
      </c>
      <c r="BS82" s="15" t="n">
        <f aca="false">BM82*'Ensemble Parameters'!$B$5+BN82*'Ensemble Parameters'!$B$6+BQ82*'Ensemble Parameters'!$B$8+BR82*'Ensemble Parameters'!$B$7</f>
        <v>-0.8564702899895</v>
      </c>
      <c r="BT82" s="16" t="n">
        <f aca="false">'Ensemble Parameters'!$B$11+'Ensemble Parameters'!$B$12*BS82</f>
        <v>91.435297100105</v>
      </c>
      <c r="BU82" s="17" t="n">
        <f aca="false">'Ensemble Parameters'!$B$13*BS82</f>
        <v>-11.990584059853</v>
      </c>
      <c r="BV82" s="18" t="n">
        <f aca="false">RANK(BT82,$BT$5:$BT$125,0)</f>
        <v>102</v>
      </c>
      <c r="BW82" s="15" t="n">
        <f aca="false">STDEV(BM82,BN82,BQ82,BR82)</f>
        <v>0.241396522187343</v>
      </c>
      <c r="BX82" s="19" t="str">
        <f aca="false">IF(BW82&lt;'Ensemble Parameters'!$B$14,"High",IF(BW82&lt;'Ensemble Parameters'!$B$15,"Moderate","Low"))</f>
        <v>High</v>
      </c>
      <c r="BY82" s="19" t="str">
        <f aca="false">IF(BX82="Low","REVIEW — MODEL DISAGREEMENT","")</f>
        <v/>
      </c>
      <c r="BZ82" s="20" t="n">
        <v>4</v>
      </c>
    </row>
    <row r="83" customFormat="false" ht="15" hidden="false" customHeight="true" outlineLevel="0" collapsed="false">
      <c r="A83" s="7" t="s">
        <v>242</v>
      </c>
      <c r="B83" s="7" t="s">
        <v>247</v>
      </c>
      <c r="C83" s="7" t="s">
        <v>248</v>
      </c>
      <c r="D83" s="7" t="n">
        <v>113</v>
      </c>
      <c r="E83" s="7" t="s">
        <v>248</v>
      </c>
      <c r="F83" s="8" t="n">
        <v>20.564448187</v>
      </c>
      <c r="G83" s="9" t="n">
        <v>110</v>
      </c>
      <c r="H83" s="8" t="n">
        <v>4.21181325574904</v>
      </c>
      <c r="I83" s="8" t="n">
        <v>7.9290084197529</v>
      </c>
      <c r="J83" s="7" t="s">
        <v>83</v>
      </c>
      <c r="K83" s="7" t="s">
        <v>84</v>
      </c>
      <c r="L83" s="8" t="n">
        <v>-10.097273464792</v>
      </c>
      <c r="M83" s="8" t="n">
        <v>89.902726535208</v>
      </c>
      <c r="N83" s="9" t="n">
        <v>111</v>
      </c>
      <c r="O83" s="8" t="n">
        <v>0.469257142857143</v>
      </c>
      <c r="P83" s="8" t="n">
        <v>-0.491885714285713</v>
      </c>
      <c r="Q83" s="7" t="s">
        <v>245</v>
      </c>
      <c r="R83" s="1" t="s">
        <v>86</v>
      </c>
      <c r="S83" s="10" t="n">
        <v>0.310004</v>
      </c>
      <c r="T83" s="11" t="n">
        <v>111</v>
      </c>
      <c r="U83" s="10" t="n">
        <v>0.310004</v>
      </c>
      <c r="V83" s="11" t="n">
        <v>109</v>
      </c>
      <c r="W83" s="10" t="n">
        <v>0.3322</v>
      </c>
      <c r="X83" s="11" t="n">
        <v>113</v>
      </c>
      <c r="Y83" s="10" t="n">
        <v>0.3322</v>
      </c>
      <c r="Z83" s="11" t="n">
        <v>109</v>
      </c>
      <c r="AA83" s="10" t="n">
        <v>0.101</v>
      </c>
      <c r="AB83" s="10" t="n">
        <v>0.5</v>
      </c>
      <c r="AC83" s="10" t="n">
        <v>0.3174</v>
      </c>
      <c r="AD83" s="10" t="n">
        <v>0.425</v>
      </c>
      <c r="AE83" s="10" t="n">
        <v>0.75</v>
      </c>
      <c r="AF83" s="10" t="s">
        <v>246</v>
      </c>
      <c r="AG83" s="12" t="n">
        <v>0</v>
      </c>
      <c r="AH83" s="11" t="n">
        <v>-2</v>
      </c>
      <c r="AI83" s="1" t="s">
        <v>87</v>
      </c>
      <c r="AJ83" s="12" t="n">
        <v>4.11</v>
      </c>
      <c r="AK83" s="12" t="n">
        <v>4.3</v>
      </c>
      <c r="AL83" s="12" t="n">
        <v>5.18</v>
      </c>
      <c r="AM83" s="13" t="n">
        <v>-21.4355743529514</v>
      </c>
      <c r="AN83" s="11" t="n">
        <v>112</v>
      </c>
      <c r="AO83" s="11" t="n">
        <v>12</v>
      </c>
      <c r="AP83" s="14" t="s">
        <v>88</v>
      </c>
      <c r="AQ83" s="13" t="n">
        <v>-15.004902047066</v>
      </c>
      <c r="AR83" s="11" t="n">
        <v>114</v>
      </c>
      <c r="AS83" s="13" t="n">
        <v>-0.344525769438378</v>
      </c>
      <c r="AT83" s="13" t="n">
        <v>-15.3494278165044</v>
      </c>
      <c r="AU83" s="11" t="n">
        <v>115</v>
      </c>
      <c r="AV83" s="10"/>
      <c r="AW83" s="14" t="s">
        <v>89</v>
      </c>
      <c r="AX83" s="14" t="s">
        <v>90</v>
      </c>
      <c r="AY83" s="10" t="n">
        <v>-10.1550189193375</v>
      </c>
      <c r="AZ83" s="10" t="n">
        <v>89.8449810806625</v>
      </c>
      <c r="BA83" s="11" t="n">
        <v>109</v>
      </c>
      <c r="BB83" s="14" t="s">
        <v>91</v>
      </c>
      <c r="BC83" s="10"/>
      <c r="BD83" s="11"/>
      <c r="BE83" s="14" t="s">
        <v>92</v>
      </c>
      <c r="BF83" s="10" t="n">
        <v>0.00829136681713138</v>
      </c>
      <c r="BG83" s="11" t="n">
        <v>60</v>
      </c>
      <c r="BH83" s="11" t="n">
        <v>12</v>
      </c>
      <c r="BI83" s="11" t="n">
        <v>12</v>
      </c>
      <c r="BJ83" s="11" t="n">
        <v>0</v>
      </c>
      <c r="BK83" s="10"/>
      <c r="BL83" s="14" t="s">
        <v>93</v>
      </c>
      <c r="BM83" s="15" t="n">
        <f aca="false">(F83-'Ensemble Parameters'!$B$20)/'Ensemble Parameters'!$C$20</f>
        <v>-1.05177131621763</v>
      </c>
      <c r="BN83" s="15" t="n">
        <f aca="false">(L83-'Ensemble Parameters'!$B$21)/'Ensemble Parameters'!$C$21</f>
        <v>-1.05840568971762</v>
      </c>
      <c r="BO83" s="15" t="n">
        <f aca="false">(S83-'Ensemble Parameters'!$B$22)/'Ensemble Parameters'!$C$22</f>
        <v>-1.17102641736039</v>
      </c>
      <c r="BP83" s="15" t="n">
        <f aca="false">(W83-'Ensemble Parameters'!$B$23)/'Ensemble Parameters'!$C$23</f>
        <v>-1.22525548754662</v>
      </c>
      <c r="BQ83" s="15" t="n">
        <f aca="false">AVERAGE(BO83:BP83)</f>
        <v>-1.1981409524535</v>
      </c>
      <c r="BR83" s="15" t="n">
        <f aca="false">(AQ83-'Ensemble Parameters'!$B$24)/'Ensemble Parameters'!$C$24</f>
        <v>-0.989948882766661</v>
      </c>
      <c r="BS83" s="15" t="n">
        <f aca="false">BM83*'Ensemble Parameters'!$B$5+BN83*'Ensemble Parameters'!$B$6+BQ83*'Ensemble Parameters'!$B$8+BR83*'Ensemble Parameters'!$B$7</f>
        <v>-1.07456671028885</v>
      </c>
      <c r="BT83" s="16" t="n">
        <f aca="false">'Ensemble Parameters'!$B$11+'Ensemble Parameters'!$B$12*BS83</f>
        <v>89.2543328971115</v>
      </c>
      <c r="BU83" s="17" t="n">
        <f aca="false">'Ensemble Parameters'!$B$13*BS83</f>
        <v>-15.0439339440439</v>
      </c>
      <c r="BV83" s="18" t="n">
        <f aca="false">RANK(BT83,$BT$5:$BT$125,0)</f>
        <v>114</v>
      </c>
      <c r="BW83" s="15" t="n">
        <f aca="false">STDEV(BM83,BN83,BQ83,BR83)</f>
        <v>0.0879613146747076</v>
      </c>
      <c r="BX83" s="19" t="str">
        <f aca="false">IF(BW83&lt;'Ensemble Parameters'!$B$14,"High",IF(BW83&lt;'Ensemble Parameters'!$B$15,"Moderate","Low"))</f>
        <v>High</v>
      </c>
      <c r="BY83" s="19" t="str">
        <f aca="false">IF(BX83="Low","REVIEW — MODEL DISAGREEMENT","")</f>
        <v/>
      </c>
      <c r="BZ83" s="20" t="n">
        <v>4</v>
      </c>
    </row>
    <row r="84" customFormat="false" ht="15" hidden="false" customHeight="true" outlineLevel="0" collapsed="false">
      <c r="A84" s="7" t="s">
        <v>242</v>
      </c>
      <c r="B84" s="7" t="s">
        <v>249</v>
      </c>
      <c r="C84" s="7" t="s">
        <v>250</v>
      </c>
      <c r="D84" s="7" t="n">
        <v>114</v>
      </c>
      <c r="E84" s="7" t="s">
        <v>250</v>
      </c>
      <c r="F84" s="8" t="n">
        <v>18.094330502</v>
      </c>
      <c r="G84" s="9" t="n">
        <v>120</v>
      </c>
      <c r="H84" s="8" t="n">
        <v>4.37145372931963</v>
      </c>
      <c r="I84" s="8" t="n">
        <v>4.97996931404112</v>
      </c>
      <c r="J84" s="7" t="s">
        <v>83</v>
      </c>
      <c r="K84" s="7" t="s">
        <v>84</v>
      </c>
      <c r="L84" s="8" t="n">
        <v>-9.71433962374359</v>
      </c>
      <c r="M84" s="8" t="n">
        <v>90.2856603762564</v>
      </c>
      <c r="N84" s="9" t="n">
        <v>108</v>
      </c>
      <c r="O84" s="8" t="n">
        <v>0.4664</v>
      </c>
      <c r="P84" s="8" t="n">
        <v>-0.5376</v>
      </c>
      <c r="Q84" s="7" t="s">
        <v>245</v>
      </c>
      <c r="R84" s="1" t="s">
        <v>86</v>
      </c>
      <c r="S84" s="10" t="n">
        <v>0.291647</v>
      </c>
      <c r="T84" s="11" t="n">
        <v>118</v>
      </c>
      <c r="U84" s="10" t="n">
        <v>0.291647</v>
      </c>
      <c r="V84" s="11" t="n">
        <v>114</v>
      </c>
      <c r="W84" s="10" t="n">
        <v>0.317155</v>
      </c>
      <c r="X84" s="11" t="n">
        <v>117</v>
      </c>
      <c r="Y84" s="10" t="n">
        <v>0.317155</v>
      </c>
      <c r="Z84" s="11" t="n">
        <v>114</v>
      </c>
      <c r="AA84" s="10" t="n">
        <v>0.0623</v>
      </c>
      <c r="AB84" s="10" t="n">
        <v>0.44</v>
      </c>
      <c r="AC84" s="10" t="n">
        <v>0.3174</v>
      </c>
      <c r="AD84" s="10" t="n">
        <v>0.53</v>
      </c>
      <c r="AE84" s="10" t="n">
        <v>0.75</v>
      </c>
      <c r="AF84" s="10" t="s">
        <v>246</v>
      </c>
      <c r="AG84" s="12" t="n">
        <v>0</v>
      </c>
      <c r="AH84" s="11" t="n">
        <v>-4</v>
      </c>
      <c r="AI84" s="1" t="s">
        <v>87</v>
      </c>
      <c r="AJ84" s="12" t="n">
        <v>3.87</v>
      </c>
      <c r="AK84" s="12" t="n">
        <v>4.13</v>
      </c>
      <c r="AL84" s="12" t="n">
        <v>4.87</v>
      </c>
      <c r="AM84" s="13" t="n">
        <v>-18.1073300038428</v>
      </c>
      <c r="AN84" s="11" t="n">
        <v>98</v>
      </c>
      <c r="AO84" s="11" t="n">
        <v>12</v>
      </c>
      <c r="AP84" s="14" t="s">
        <v>88</v>
      </c>
      <c r="AQ84" s="13" t="n">
        <v>-12.67513100269</v>
      </c>
      <c r="AR84" s="11" t="n">
        <v>100</v>
      </c>
      <c r="AS84" s="13" t="n">
        <v>-0.238383492233339</v>
      </c>
      <c r="AT84" s="13" t="n">
        <v>-12.9135144949233</v>
      </c>
      <c r="AU84" s="11" t="n">
        <v>98</v>
      </c>
      <c r="AV84" s="10"/>
      <c r="AW84" s="14" t="s">
        <v>89</v>
      </c>
      <c r="AX84" s="14" t="s">
        <v>90</v>
      </c>
      <c r="AY84" s="10" t="n">
        <v>-9.77208507828904</v>
      </c>
      <c r="AZ84" s="10" t="n">
        <v>90.227914921711</v>
      </c>
      <c r="BA84" s="11" t="n">
        <v>104</v>
      </c>
      <c r="BB84" s="14" t="s">
        <v>91</v>
      </c>
      <c r="BC84" s="10"/>
      <c r="BD84" s="11"/>
      <c r="BE84" s="14" t="s">
        <v>92</v>
      </c>
      <c r="BF84" s="10" t="n">
        <v>0.00827796553214193</v>
      </c>
      <c r="BG84" s="11" t="n">
        <v>79</v>
      </c>
      <c r="BH84" s="11" t="n">
        <v>12</v>
      </c>
      <c r="BI84" s="11" t="n">
        <v>12</v>
      </c>
      <c r="BJ84" s="11" t="n">
        <v>0</v>
      </c>
      <c r="BK84" s="10"/>
      <c r="BL84" s="14" t="s">
        <v>93</v>
      </c>
      <c r="BM84" s="15" t="n">
        <f aca="false">(F84-'Ensemble Parameters'!$B$20)/'Ensemble Parameters'!$C$20</f>
        <v>-1.61840455527212</v>
      </c>
      <c r="BN84" s="15" t="n">
        <f aca="false">(L84-'Ensemble Parameters'!$B$21)/'Ensemble Parameters'!$C$21</f>
        <v>-1.01826620478</v>
      </c>
      <c r="BO84" s="15" t="n">
        <f aca="false">(S84-'Ensemble Parameters'!$B$22)/'Ensemble Parameters'!$C$22</f>
        <v>-1.29904148207596</v>
      </c>
      <c r="BP84" s="15" t="n">
        <f aca="false">(W84-'Ensemble Parameters'!$B$23)/'Ensemble Parameters'!$C$23</f>
        <v>-1.34314031208032</v>
      </c>
      <c r="BQ84" s="15" t="n">
        <f aca="false">AVERAGE(BO84:BP84)</f>
        <v>-1.32109089707814</v>
      </c>
      <c r="BR84" s="15" t="n">
        <f aca="false">(AQ84-'Ensemble Parameters'!$B$24)/'Ensemble Parameters'!$C$24</f>
        <v>-0.835360369949831</v>
      </c>
      <c r="BS84" s="15" t="n">
        <f aca="false">BM84*'Ensemble Parameters'!$B$5+BN84*'Ensemble Parameters'!$B$6+BQ84*'Ensemble Parameters'!$B$8+BR84*'Ensemble Parameters'!$B$7</f>
        <v>-1.19828050677002</v>
      </c>
      <c r="BT84" s="16" t="n">
        <f aca="false">'Ensemble Parameters'!$B$11+'Ensemble Parameters'!$B$12*BS84</f>
        <v>88.0171949322998</v>
      </c>
      <c r="BU84" s="17" t="n">
        <f aca="false">'Ensemble Parameters'!$B$13*BS84</f>
        <v>-16.7759270947803</v>
      </c>
      <c r="BV84" s="18" t="n">
        <f aca="false">RANK(BT84,$BT$5:$BT$125,0)</f>
        <v>120</v>
      </c>
      <c r="BW84" s="15" t="n">
        <f aca="false">STDEV(BM84,BN84,BQ84,BR84)</f>
        <v>0.344336455001</v>
      </c>
      <c r="BX84" s="19" t="str">
        <f aca="false">IF(BW84&lt;'Ensemble Parameters'!$B$14,"High",IF(BW84&lt;'Ensemble Parameters'!$B$15,"Moderate","Low"))</f>
        <v>Moderate</v>
      </c>
      <c r="BY84" s="19" t="str">
        <f aca="false">IF(BX84="Low","REVIEW — MODEL DISAGREEMENT","")</f>
        <v/>
      </c>
      <c r="BZ84" s="20" t="n">
        <v>4</v>
      </c>
    </row>
    <row r="85" customFormat="false" ht="15" hidden="false" customHeight="true" outlineLevel="0" collapsed="false">
      <c r="A85" s="7" t="s">
        <v>242</v>
      </c>
      <c r="B85" s="7" t="s">
        <v>251</v>
      </c>
      <c r="C85" s="7" t="s">
        <v>252</v>
      </c>
      <c r="D85" s="7" t="n">
        <v>115</v>
      </c>
      <c r="E85" s="7" t="s">
        <v>252</v>
      </c>
      <c r="F85" s="8" t="n">
        <v>23.863557154</v>
      </c>
      <c r="G85" s="9" t="n">
        <v>63</v>
      </c>
      <c r="H85" s="8" t="n">
        <v>4.07041920770402</v>
      </c>
      <c r="I85" s="8" t="n">
        <v>11.6522995308879</v>
      </c>
      <c r="J85" s="7" t="s">
        <v>83</v>
      </c>
      <c r="K85" s="7" t="s">
        <v>84</v>
      </c>
      <c r="L85" s="8" t="n">
        <v>-6.54224833578311</v>
      </c>
      <c r="M85" s="8" t="n">
        <v>93.4577516642169</v>
      </c>
      <c r="N85" s="9" t="n">
        <v>87</v>
      </c>
      <c r="O85" s="8" t="n">
        <v>0.436304761904762</v>
      </c>
      <c r="P85" s="8" t="n">
        <v>-1.01912380952381</v>
      </c>
      <c r="Q85" s="7" t="s">
        <v>245</v>
      </c>
      <c r="R85" s="1" t="s">
        <v>86</v>
      </c>
      <c r="S85" s="10" t="n">
        <v>0.363442</v>
      </c>
      <c r="T85" s="11" t="n">
        <v>94</v>
      </c>
      <c r="U85" s="10" t="n">
        <v>0.363442</v>
      </c>
      <c r="V85" s="11" t="n">
        <v>91</v>
      </c>
      <c r="W85" s="10" t="n">
        <v>0.38008</v>
      </c>
      <c r="X85" s="11" t="n">
        <v>99</v>
      </c>
      <c r="Y85" s="10" t="n">
        <v>0.38008</v>
      </c>
      <c r="Z85" s="11" t="n">
        <v>91</v>
      </c>
      <c r="AA85" s="10" t="n">
        <v>0.2678</v>
      </c>
      <c r="AB85" s="10" t="n">
        <v>0.4</v>
      </c>
      <c r="AC85" s="10" t="n">
        <v>0.3854</v>
      </c>
      <c r="AD85" s="10" t="n">
        <v>0.35</v>
      </c>
      <c r="AE85" s="10" t="n">
        <v>0.75</v>
      </c>
      <c r="AF85" s="10" t="s">
        <v>246</v>
      </c>
      <c r="AG85" s="12" t="n">
        <v>3.18</v>
      </c>
      <c r="AH85" s="11" t="n">
        <v>-3</v>
      </c>
      <c r="AI85" s="1" t="s">
        <v>87</v>
      </c>
      <c r="AJ85" s="12" t="n">
        <v>5.5</v>
      </c>
      <c r="AK85" s="12" t="n">
        <v>5.55</v>
      </c>
      <c r="AL85" s="12" t="n">
        <v>5.81</v>
      </c>
      <c r="AM85" s="13" t="n">
        <v>-11.3716670338707</v>
      </c>
      <c r="AN85" s="11" t="n">
        <v>79</v>
      </c>
      <c r="AO85" s="11" t="n">
        <v>13</v>
      </c>
      <c r="AP85" s="14" t="s">
        <v>88</v>
      </c>
      <c r="AQ85" s="13" t="n">
        <v>-7.96016692370949</v>
      </c>
      <c r="AR85" s="11" t="n">
        <v>81</v>
      </c>
      <c r="AS85" s="13" t="n">
        <v>-1.2024549705728</v>
      </c>
      <c r="AT85" s="13" t="n">
        <v>-9.16262189428229</v>
      </c>
      <c r="AU85" s="11" t="n">
        <v>87</v>
      </c>
      <c r="AV85" s="10"/>
      <c r="AW85" s="14" t="s">
        <v>89</v>
      </c>
      <c r="AX85" s="14" t="s">
        <v>90</v>
      </c>
      <c r="AY85" s="10" t="n">
        <v>-6.59999379032857</v>
      </c>
      <c r="AZ85" s="10" t="n">
        <v>93.4000062096714</v>
      </c>
      <c r="BA85" s="11" t="n">
        <v>86</v>
      </c>
      <c r="BB85" s="14" t="s">
        <v>91</v>
      </c>
      <c r="BC85" s="10"/>
      <c r="BD85" s="11"/>
      <c r="BE85" s="14" t="s">
        <v>92</v>
      </c>
      <c r="BF85" s="10" t="n">
        <v>0.00827051106280118</v>
      </c>
      <c r="BG85" s="11" t="n">
        <v>87</v>
      </c>
      <c r="BH85" s="11" t="n">
        <v>12</v>
      </c>
      <c r="BI85" s="11" t="n">
        <v>12</v>
      </c>
      <c r="BJ85" s="11" t="n">
        <v>0</v>
      </c>
      <c r="BK85" s="10"/>
      <c r="BL85" s="14" t="s">
        <v>93</v>
      </c>
      <c r="BM85" s="15" t="n">
        <f aca="false">(F85-'Ensemble Parameters'!$B$20)/'Ensemble Parameters'!$C$20</f>
        <v>-0.294971423112565</v>
      </c>
      <c r="BN85" s="15" t="n">
        <f aca="false">(L85-'Ensemble Parameters'!$B$21)/'Ensemble Parameters'!$C$21</f>
        <v>-0.685764616189</v>
      </c>
      <c r="BO85" s="15" t="n">
        <f aca="false">(S85-'Ensemble Parameters'!$B$22)/'Ensemble Parameters'!$C$22</f>
        <v>-0.798369173351504</v>
      </c>
      <c r="BP85" s="15" t="n">
        <f aca="false">(W85-'Ensemble Parameters'!$B$23)/'Ensemble Parameters'!$C$23</f>
        <v>-0.850092616248929</v>
      </c>
      <c r="BQ85" s="15" t="n">
        <f aca="false">AVERAGE(BO85:BP85)</f>
        <v>-0.824230894800217</v>
      </c>
      <c r="BR85" s="15" t="n">
        <f aca="false">(AQ85-'Ensemble Parameters'!$B$24)/'Ensemble Parameters'!$C$24</f>
        <v>-0.522505900102306</v>
      </c>
      <c r="BS85" s="15" t="n">
        <f aca="false">BM85*'Ensemble Parameters'!$B$5+BN85*'Ensemble Parameters'!$B$6+BQ85*'Ensemble Parameters'!$B$8+BR85*'Ensemble Parameters'!$B$7</f>
        <v>-0.581868208551022</v>
      </c>
      <c r="BT85" s="16" t="n">
        <f aca="false">'Ensemble Parameters'!$B$11+'Ensemble Parameters'!$B$12*BS85</f>
        <v>94.1813179144898</v>
      </c>
      <c r="BU85" s="17" t="n">
        <f aca="false">'Ensemble Parameters'!$B$13*BS85</f>
        <v>-8.14615491971431</v>
      </c>
      <c r="BV85" s="18" t="n">
        <f aca="false">RANK(BT85,$BT$5:$BT$125,0)</f>
        <v>80</v>
      </c>
      <c r="BW85" s="15" t="n">
        <f aca="false">STDEV(BM85,BN85,BQ85,BR85)</f>
        <v>0.227572541083265</v>
      </c>
      <c r="BX85" s="19" t="str">
        <f aca="false">IF(BW85&lt;'Ensemble Parameters'!$B$14,"High",IF(BW85&lt;'Ensemble Parameters'!$B$15,"Moderate","Low"))</f>
        <v>High</v>
      </c>
      <c r="BY85" s="19" t="str">
        <f aca="false">IF(BX85="Low","REVIEW — MODEL DISAGREEMENT","")</f>
        <v/>
      </c>
      <c r="BZ85" s="20" t="n">
        <v>4</v>
      </c>
    </row>
    <row r="86" customFormat="false" ht="15" hidden="false" customHeight="true" outlineLevel="0" collapsed="false">
      <c r="A86" s="7" t="s">
        <v>242</v>
      </c>
      <c r="B86" s="7" t="s">
        <v>253</v>
      </c>
      <c r="C86" s="7" t="s">
        <v>254</v>
      </c>
      <c r="D86" s="7" t="n">
        <v>116</v>
      </c>
      <c r="E86" s="7" t="s">
        <v>254</v>
      </c>
      <c r="F86" s="8" t="n">
        <v>29.601175649</v>
      </c>
      <c r="G86" s="9" t="n">
        <v>23</v>
      </c>
      <c r="H86" s="8" t="n">
        <v>4.23340991246998</v>
      </c>
      <c r="I86" s="8" t="n">
        <v>16.9009459115901</v>
      </c>
      <c r="J86" s="7" t="s">
        <v>83</v>
      </c>
      <c r="K86" s="7" t="s">
        <v>84</v>
      </c>
      <c r="L86" s="8" t="n">
        <v>7.74601430135948</v>
      </c>
      <c r="M86" s="8" t="n">
        <v>107.74601430136</v>
      </c>
      <c r="N86" s="9" t="n">
        <v>26</v>
      </c>
      <c r="O86" s="8" t="n">
        <v>0.559733333333333</v>
      </c>
      <c r="P86" s="8" t="n">
        <v>0.955733333333335</v>
      </c>
      <c r="Q86" s="7" t="s">
        <v>245</v>
      </c>
      <c r="R86" s="1" t="s">
        <v>86</v>
      </c>
      <c r="S86" s="10" t="n">
        <v>0.593009</v>
      </c>
      <c r="T86" s="11" t="n">
        <v>27</v>
      </c>
      <c r="U86" s="10" t="n">
        <v>0.593009</v>
      </c>
      <c r="V86" s="11" t="n">
        <v>34</v>
      </c>
      <c r="W86" s="10" t="n">
        <v>0.567195</v>
      </c>
      <c r="X86" s="11" t="n">
        <v>29</v>
      </c>
      <c r="Y86" s="10" t="n">
        <v>0.567195</v>
      </c>
      <c r="Z86" s="11" t="n">
        <v>34</v>
      </c>
      <c r="AA86" s="10" t="n">
        <v>0.6367</v>
      </c>
      <c r="AB86" s="10" t="n">
        <v>0.65</v>
      </c>
      <c r="AC86" s="10" t="n">
        <v>0.3174</v>
      </c>
      <c r="AD86" s="10" t="n">
        <v>0.6</v>
      </c>
      <c r="AE86" s="10" t="n">
        <v>0.75</v>
      </c>
      <c r="AF86" s="10" t="s">
        <v>246</v>
      </c>
      <c r="AG86" s="12" t="n">
        <v>0</v>
      </c>
      <c r="AH86" s="11" t="n">
        <v>7</v>
      </c>
      <c r="AI86" s="1" t="s">
        <v>87</v>
      </c>
      <c r="AJ86" s="12" t="n">
        <v>9.71</v>
      </c>
      <c r="AK86" s="12" t="n">
        <v>9.14</v>
      </c>
      <c r="AL86" s="12" t="n">
        <v>8.51</v>
      </c>
      <c r="AM86" s="13" t="n">
        <v>18.0006126895659</v>
      </c>
      <c r="AN86" s="11" t="n">
        <v>23</v>
      </c>
      <c r="AO86" s="11" t="n">
        <v>14</v>
      </c>
      <c r="AP86" s="14" t="s">
        <v>88</v>
      </c>
      <c r="AQ86" s="13" t="n">
        <v>12.6004288826961</v>
      </c>
      <c r="AR86" s="11" t="n">
        <v>23</v>
      </c>
      <c r="AS86" s="13" t="n">
        <v>-1.18269545311592</v>
      </c>
      <c r="AT86" s="13" t="n">
        <v>11.4177334295802</v>
      </c>
      <c r="AU86" s="11" t="n">
        <v>24</v>
      </c>
      <c r="AV86" s="10"/>
      <c r="AW86" s="14" t="s">
        <v>89</v>
      </c>
      <c r="AX86" s="14" t="s">
        <v>90</v>
      </c>
      <c r="AY86" s="10" t="n">
        <v>7.68826884681402</v>
      </c>
      <c r="AZ86" s="10" t="n">
        <v>107.688268846814</v>
      </c>
      <c r="BA86" s="11" t="n">
        <v>26</v>
      </c>
      <c r="BB86" s="14" t="s">
        <v>91</v>
      </c>
      <c r="BC86" s="10"/>
      <c r="BD86" s="11"/>
      <c r="BE86" s="14" t="s">
        <v>92</v>
      </c>
      <c r="BF86" s="10" t="n">
        <v>0.00825829030952428</v>
      </c>
      <c r="BG86" s="11" t="n">
        <v>100</v>
      </c>
      <c r="BH86" s="11" t="n">
        <v>12</v>
      </c>
      <c r="BI86" s="11" t="n">
        <v>12</v>
      </c>
      <c r="BJ86" s="11" t="n">
        <v>0</v>
      </c>
      <c r="BK86" s="10"/>
      <c r="BL86" s="14" t="s">
        <v>93</v>
      </c>
      <c r="BM86" s="15" t="n">
        <f aca="false">(F86-'Ensemble Parameters'!$B$20)/'Ensemble Parameters'!$C$20</f>
        <v>1.02121094828761</v>
      </c>
      <c r="BN86" s="15" t="n">
        <f aca="false">(L86-'Ensemble Parameters'!$B$21)/'Ensemble Parameters'!$C$21</f>
        <v>0.811944495489783</v>
      </c>
      <c r="BO86" s="15" t="n">
        <f aca="false">(S86-'Ensemble Parameters'!$B$22)/'Ensemble Parameters'!$C$22</f>
        <v>0.802547880718389</v>
      </c>
      <c r="BP86" s="15" t="n">
        <f aca="false">(W86-'Ensemble Parameters'!$B$23)/'Ensemble Parameters'!$C$23</f>
        <v>0.616043571363155</v>
      </c>
      <c r="BQ86" s="15" t="n">
        <f aca="false">AVERAGE(BO86:BP86)</f>
        <v>0.709295726040772</v>
      </c>
      <c r="BR86" s="15" t="n">
        <f aca="false">(AQ86-'Ensemble Parameters'!$B$24)/'Ensemble Parameters'!$C$24</f>
        <v>0.841762033441131</v>
      </c>
      <c r="BS86" s="15" t="n">
        <f aca="false">BM86*'Ensemble Parameters'!$B$5+BN86*'Ensemble Parameters'!$B$6+BQ86*'Ensemble Parameters'!$B$8+BR86*'Ensemble Parameters'!$B$7</f>
        <v>0.846053300814823</v>
      </c>
      <c r="BT86" s="16" t="n">
        <f aca="false">'Ensemble Parameters'!$B$11+'Ensemble Parameters'!$B$12*BS86</f>
        <v>108.460533008148</v>
      </c>
      <c r="BU86" s="17" t="n">
        <f aca="false">'Ensemble Parameters'!$B$13*BS86</f>
        <v>11.8447462114075</v>
      </c>
      <c r="BV86" s="18" t="n">
        <f aca="false">RANK(BT86,$BT$5:$BT$125,0)</f>
        <v>24</v>
      </c>
      <c r="BW86" s="15" t="n">
        <f aca="false">STDEV(BM86,BN86,BQ86,BR86)</f>
        <v>0.129826372901983</v>
      </c>
      <c r="BX86" s="19" t="str">
        <f aca="false">IF(BW86&lt;'Ensemble Parameters'!$B$14,"High",IF(BW86&lt;'Ensemble Parameters'!$B$15,"Moderate","Low"))</f>
        <v>High</v>
      </c>
      <c r="BY86" s="19" t="str">
        <f aca="false">IF(BX86="Low","REVIEW — MODEL DISAGREEMENT","")</f>
        <v/>
      </c>
      <c r="BZ86" s="20" t="n">
        <v>4</v>
      </c>
    </row>
    <row r="87" customFormat="false" ht="15" hidden="false" customHeight="true" outlineLevel="0" collapsed="false">
      <c r="A87" s="7" t="s">
        <v>242</v>
      </c>
      <c r="B87" s="7" t="s">
        <v>255</v>
      </c>
      <c r="C87" s="7" t="s">
        <v>256</v>
      </c>
      <c r="D87" s="7" t="n">
        <v>117</v>
      </c>
      <c r="E87" s="7" t="s">
        <v>256</v>
      </c>
      <c r="F87" s="8" t="n">
        <v>21.106659157</v>
      </c>
      <c r="G87" s="9" t="n">
        <v>102</v>
      </c>
      <c r="H87" s="8" t="n">
        <v>4.18104546458266</v>
      </c>
      <c r="I87" s="8" t="n">
        <v>8.56352276325203</v>
      </c>
      <c r="J87" s="7" t="s">
        <v>83</v>
      </c>
      <c r="K87" s="7" t="s">
        <v>84</v>
      </c>
      <c r="L87" s="8" t="n">
        <v>-5.17257089207734</v>
      </c>
      <c r="M87" s="8" t="n">
        <v>94.8274291079227</v>
      </c>
      <c r="N87" s="9" t="n">
        <v>83</v>
      </c>
      <c r="O87" s="8" t="n">
        <v>0.407114285714286</v>
      </c>
      <c r="P87" s="8" t="n">
        <v>-1.48617142857143</v>
      </c>
      <c r="Q87" s="7" t="s">
        <v>245</v>
      </c>
      <c r="R87" s="1" t="s">
        <v>86</v>
      </c>
      <c r="S87" s="10" t="n">
        <v>0.344614</v>
      </c>
      <c r="T87" s="11" t="n">
        <v>104</v>
      </c>
      <c r="U87" s="10" t="n">
        <v>0.344614</v>
      </c>
      <c r="V87" s="11" t="n">
        <v>98</v>
      </c>
      <c r="W87" s="10" t="n">
        <v>0.34676</v>
      </c>
      <c r="X87" s="11" t="n">
        <v>109</v>
      </c>
      <c r="Y87" s="10" t="n">
        <v>0.34676</v>
      </c>
      <c r="Z87" s="11" t="n">
        <v>98</v>
      </c>
      <c r="AA87" s="10" t="n">
        <v>0.2626</v>
      </c>
      <c r="AB87" s="10" t="n">
        <v>0.43</v>
      </c>
      <c r="AC87" s="10" t="n">
        <v>0.3174</v>
      </c>
      <c r="AD87" s="10" t="n">
        <v>0.52</v>
      </c>
      <c r="AE87" s="10" t="n">
        <v>0.375</v>
      </c>
      <c r="AF87" s="10" t="s">
        <v>246</v>
      </c>
      <c r="AG87" s="12" t="n">
        <v>0</v>
      </c>
      <c r="AH87" s="11" t="n">
        <v>-6</v>
      </c>
      <c r="AI87" s="1" t="s">
        <v>87</v>
      </c>
      <c r="AJ87" s="12" t="n">
        <v>5.29</v>
      </c>
      <c r="AK87" s="12" t="n">
        <v>5.05</v>
      </c>
      <c r="AL87" s="12" t="n">
        <v>4.09</v>
      </c>
      <c r="AM87" s="13" t="n">
        <v>-9.20067881459343</v>
      </c>
      <c r="AN87" s="11" t="n">
        <v>65</v>
      </c>
      <c r="AO87" s="11" t="n">
        <v>12</v>
      </c>
      <c r="AP87" s="14" t="s">
        <v>88</v>
      </c>
      <c r="AQ87" s="13" t="n">
        <v>-6.4404751702154</v>
      </c>
      <c r="AR87" s="11" t="n">
        <v>67</v>
      </c>
      <c r="AS87" s="13" t="n">
        <v>-1.92696738188643</v>
      </c>
      <c r="AT87" s="13" t="n">
        <v>-8.36744255210183</v>
      </c>
      <c r="AU87" s="11" t="n">
        <v>83</v>
      </c>
      <c r="AV87" s="10"/>
      <c r="AW87" s="14" t="s">
        <v>89</v>
      </c>
      <c r="AX87" s="14" t="s">
        <v>90</v>
      </c>
      <c r="AY87" s="10" t="n">
        <v>-5.23031634662279</v>
      </c>
      <c r="AZ87" s="10" t="n">
        <v>94.7696836533772</v>
      </c>
      <c r="BA87" s="11" t="n">
        <v>77</v>
      </c>
      <c r="BB87" s="14" t="s">
        <v>91</v>
      </c>
      <c r="BC87" s="10"/>
      <c r="BD87" s="11"/>
      <c r="BE87" s="14" t="s">
        <v>92</v>
      </c>
      <c r="BF87" s="10" t="n">
        <v>0.00827393468742942</v>
      </c>
      <c r="BG87" s="11" t="n">
        <v>85</v>
      </c>
      <c r="BH87" s="11" t="n">
        <v>12</v>
      </c>
      <c r="BI87" s="11" t="n">
        <v>12</v>
      </c>
      <c r="BJ87" s="11" t="n">
        <v>0</v>
      </c>
      <c r="BK87" s="10"/>
      <c r="BL87" s="14" t="s">
        <v>93</v>
      </c>
      <c r="BM87" s="15" t="n">
        <f aca="false">(F87-'Ensemble Parameters'!$B$20)/'Ensemble Parameters'!$C$20</f>
        <v>-0.927390700651136</v>
      </c>
      <c r="BN87" s="15" t="n">
        <f aca="false">(L87-'Ensemble Parameters'!$B$21)/'Ensemble Parameters'!$C$21</f>
        <v>-0.542193739897404</v>
      </c>
      <c r="BO87" s="15" t="n">
        <f aca="false">(S87-'Ensemble Parameters'!$B$22)/'Ensemble Parameters'!$C$22</f>
        <v>-0.929668821358526</v>
      </c>
      <c r="BP87" s="15" t="n">
        <f aca="false">(W87-'Ensemble Parameters'!$B$23)/'Ensemble Parameters'!$C$23</f>
        <v>-1.1111708717134</v>
      </c>
      <c r="BQ87" s="15" t="n">
        <f aca="false">AVERAGE(BO87:BP87)</f>
        <v>-1.02041984653596</v>
      </c>
      <c r="BR87" s="15" t="n">
        <f aca="false">(AQ87-'Ensemble Parameters'!$B$24)/'Ensemble Parameters'!$C$24</f>
        <v>-0.421669000837137</v>
      </c>
      <c r="BS87" s="15" t="n">
        <f aca="false">BM87*'Ensemble Parameters'!$B$5+BN87*'Ensemble Parameters'!$B$6+BQ87*'Ensemble Parameters'!$B$8+BR87*'Ensemble Parameters'!$B$7</f>
        <v>-0.72791832198041</v>
      </c>
      <c r="BT87" s="16" t="n">
        <f aca="false">'Ensemble Parameters'!$B$11+'Ensemble Parameters'!$B$12*BS87</f>
        <v>92.7208167801959</v>
      </c>
      <c r="BU87" s="17" t="n">
        <f aca="false">'Ensemble Parameters'!$B$13*BS87</f>
        <v>-10.1908565077257</v>
      </c>
      <c r="BV87" s="18" t="n">
        <f aca="false">RANK(BT87,$BT$5:$BT$125,0)</f>
        <v>93</v>
      </c>
      <c r="BW87" s="15" t="n">
        <f aca="false">STDEV(BM87,BN87,BQ87,BR87)</f>
        <v>0.290762582880778</v>
      </c>
      <c r="BX87" s="19" t="str">
        <f aca="false">IF(BW87&lt;'Ensemble Parameters'!$B$14,"High",IF(BW87&lt;'Ensemble Parameters'!$B$15,"Moderate","Low"))</f>
        <v>High</v>
      </c>
      <c r="BY87" s="19" t="str">
        <f aca="false">IF(BX87="Low","REVIEW — MODEL DISAGREEMENT","")</f>
        <v/>
      </c>
      <c r="BZ87" s="20" t="n">
        <v>4</v>
      </c>
    </row>
    <row r="88" customFormat="false" ht="15" hidden="false" customHeight="true" outlineLevel="0" collapsed="false">
      <c r="A88" s="7" t="s">
        <v>242</v>
      </c>
      <c r="B88" s="7" t="s">
        <v>257</v>
      </c>
      <c r="C88" s="7" t="s">
        <v>258</v>
      </c>
      <c r="D88" s="7" t="n">
        <v>118</v>
      </c>
      <c r="E88" s="7" t="s">
        <v>258</v>
      </c>
      <c r="F88" s="8" t="n">
        <v>23.972277689</v>
      </c>
      <c r="G88" s="9" t="n">
        <v>59</v>
      </c>
      <c r="H88" s="8" t="n">
        <v>4.02088609299917</v>
      </c>
      <c r="I88" s="8" t="n">
        <v>11.9096194100025</v>
      </c>
      <c r="J88" s="7" t="s">
        <v>83</v>
      </c>
      <c r="K88" s="7" t="s">
        <v>84</v>
      </c>
      <c r="L88" s="8" t="n">
        <v>-3.99703188304768</v>
      </c>
      <c r="M88" s="8" t="n">
        <v>96.0029681169523</v>
      </c>
      <c r="N88" s="9" t="n">
        <v>73</v>
      </c>
      <c r="O88" s="8" t="n">
        <v>0.484495238095238</v>
      </c>
      <c r="P88" s="8" t="n">
        <v>-0.24807619047619</v>
      </c>
      <c r="Q88" s="7" t="s">
        <v>245</v>
      </c>
      <c r="R88" s="1" t="s">
        <v>86</v>
      </c>
      <c r="S88" s="10" t="n">
        <v>0.405528</v>
      </c>
      <c r="T88" s="11" t="n">
        <v>78</v>
      </c>
      <c r="U88" s="10" t="n">
        <v>0.405528</v>
      </c>
      <c r="V88" s="11" t="n">
        <v>80</v>
      </c>
      <c r="W88" s="10" t="n">
        <v>0.410515</v>
      </c>
      <c r="X88" s="11" t="n">
        <v>84</v>
      </c>
      <c r="Y88" s="10" t="n">
        <v>0.410515</v>
      </c>
      <c r="Z88" s="11" t="n">
        <v>80</v>
      </c>
      <c r="AA88" s="10" t="n">
        <v>0.3019</v>
      </c>
      <c r="AB88" s="10" t="n">
        <v>0.47</v>
      </c>
      <c r="AC88" s="10" t="n">
        <v>0.3174</v>
      </c>
      <c r="AD88" s="10" t="n">
        <v>0.565</v>
      </c>
      <c r="AE88" s="10" t="n">
        <v>0.75</v>
      </c>
      <c r="AF88" s="10" t="s">
        <v>246</v>
      </c>
      <c r="AG88" s="12" t="n">
        <v>0</v>
      </c>
      <c r="AH88" s="11" t="n">
        <v>2</v>
      </c>
      <c r="AI88" s="1" t="s">
        <v>87</v>
      </c>
      <c r="AJ88" s="12" t="n">
        <v>5.77</v>
      </c>
      <c r="AK88" s="12" t="n">
        <v>5.69</v>
      </c>
      <c r="AL88" s="12" t="n">
        <v>5.7</v>
      </c>
      <c r="AM88" s="13" t="n">
        <v>-8.47418906871948</v>
      </c>
      <c r="AN88" s="11" t="n">
        <v>60</v>
      </c>
      <c r="AO88" s="11" t="n">
        <v>13</v>
      </c>
      <c r="AP88" s="14" t="s">
        <v>88</v>
      </c>
      <c r="AQ88" s="13" t="n">
        <v>-5.93193234810363</v>
      </c>
      <c r="AR88" s="11" t="n">
        <v>62</v>
      </c>
      <c r="AS88" s="13" t="n">
        <v>-0.890501194681255</v>
      </c>
      <c r="AT88" s="13" t="n">
        <v>-6.82243354278489</v>
      </c>
      <c r="AU88" s="11" t="n">
        <v>74</v>
      </c>
      <c r="AV88" s="10"/>
      <c r="AW88" s="14" t="s">
        <v>89</v>
      </c>
      <c r="AX88" s="14" t="s">
        <v>90</v>
      </c>
      <c r="AY88" s="10" t="n">
        <v>-4.05477733759313</v>
      </c>
      <c r="AZ88" s="10" t="n">
        <v>95.9452226624069</v>
      </c>
      <c r="BA88" s="11" t="n">
        <v>68</v>
      </c>
      <c r="BB88" s="14" t="s">
        <v>91</v>
      </c>
      <c r="BC88" s="10"/>
      <c r="BD88" s="11"/>
      <c r="BE88" s="14" t="s">
        <v>92</v>
      </c>
      <c r="BF88" s="10" t="n">
        <v>0.00828079386038956</v>
      </c>
      <c r="BG88" s="11" t="n">
        <v>75</v>
      </c>
      <c r="BH88" s="11" t="n">
        <v>12</v>
      </c>
      <c r="BI88" s="11" t="n">
        <v>12</v>
      </c>
      <c r="BJ88" s="11" t="n">
        <v>0</v>
      </c>
      <c r="BK88" s="10"/>
      <c r="BL88" s="14" t="s">
        <v>93</v>
      </c>
      <c r="BM88" s="15" t="n">
        <f aca="false">(F88-'Ensemble Parameters'!$B$20)/'Ensemble Parameters'!$C$20</f>
        <v>-0.270031449898784</v>
      </c>
      <c r="BN88" s="15" t="n">
        <f aca="false">(L88-'Ensemble Parameters'!$B$21)/'Ensemble Parameters'!$C$21</f>
        <v>-0.418972636697578</v>
      </c>
      <c r="BO88" s="15" t="n">
        <f aca="false">(S88-'Ensemble Parameters'!$B$22)/'Ensemble Parameters'!$C$22</f>
        <v>-0.504876662940228</v>
      </c>
      <c r="BP88" s="15" t="n">
        <f aca="false">(W88-'Ensemble Parameters'!$B$23)/'Ensemble Parameters'!$C$23</f>
        <v>-0.61161972594097</v>
      </c>
      <c r="BQ88" s="15" t="n">
        <f aca="false">AVERAGE(BO88:BP88)</f>
        <v>-0.558248194440599</v>
      </c>
      <c r="BR88" s="15" t="n">
        <f aca="false">(AQ88-'Ensemble Parameters'!$B$24)/'Ensemble Parameters'!$C$24</f>
        <v>-0.38792539381459</v>
      </c>
      <c r="BS88" s="15" t="n">
        <f aca="false">BM88*'Ensemble Parameters'!$B$5+BN88*'Ensemble Parameters'!$B$6+BQ88*'Ensemble Parameters'!$B$8+BR88*'Ensemble Parameters'!$B$7</f>
        <v>-0.408794418712888</v>
      </c>
      <c r="BT88" s="16" t="n">
        <f aca="false">'Ensemble Parameters'!$B$11+'Ensemble Parameters'!$B$12*BS88</f>
        <v>95.9120558128711</v>
      </c>
      <c r="BU88" s="17" t="n">
        <f aca="false">'Ensemble Parameters'!$B$13*BS88</f>
        <v>-5.72312186198043</v>
      </c>
      <c r="BV88" s="18" t="n">
        <f aca="false">RANK(BT88,$BT$5:$BT$125,0)</f>
        <v>70</v>
      </c>
      <c r="BW88" s="15" t="n">
        <f aca="false">STDEV(BM88,BN88,BQ88,BR88)</f>
        <v>0.118505562337698</v>
      </c>
      <c r="BX88" s="19" t="str">
        <f aca="false">IF(BW88&lt;'Ensemble Parameters'!$B$14,"High",IF(BW88&lt;'Ensemble Parameters'!$B$15,"Moderate","Low"))</f>
        <v>High</v>
      </c>
      <c r="BY88" s="19" t="str">
        <f aca="false">IF(BX88="Low","REVIEW — MODEL DISAGREEMENT","")</f>
        <v/>
      </c>
      <c r="BZ88" s="20" t="n">
        <v>4</v>
      </c>
    </row>
    <row r="89" customFormat="false" ht="15" hidden="false" customHeight="true" outlineLevel="0" collapsed="false">
      <c r="A89" s="7" t="s">
        <v>242</v>
      </c>
      <c r="B89" s="7" t="s">
        <v>259</v>
      </c>
      <c r="C89" s="7" t="s">
        <v>260</v>
      </c>
      <c r="D89" s="7" t="n">
        <v>119</v>
      </c>
      <c r="E89" s="7" t="s">
        <v>260</v>
      </c>
      <c r="F89" s="8" t="n">
        <v>21.014497542</v>
      </c>
      <c r="G89" s="9" t="n">
        <v>104</v>
      </c>
      <c r="H89" s="8" t="n">
        <v>4.06035946151288</v>
      </c>
      <c r="I89" s="8" t="n">
        <v>8.83341915746136</v>
      </c>
      <c r="J89" s="7" t="s">
        <v>83</v>
      </c>
      <c r="K89" s="7" t="s">
        <v>84</v>
      </c>
      <c r="L89" s="8" t="n">
        <v>-10.9211107418986</v>
      </c>
      <c r="M89" s="8" t="n">
        <v>89.0788892581014</v>
      </c>
      <c r="N89" s="9" t="n">
        <v>116</v>
      </c>
      <c r="O89" s="8" t="n">
        <v>0.436638095238095</v>
      </c>
      <c r="P89" s="8" t="n">
        <v>-1.01379047619048</v>
      </c>
      <c r="Q89" s="7" t="s">
        <v>245</v>
      </c>
      <c r="R89" s="1" t="s">
        <v>86</v>
      </c>
      <c r="S89" s="10" t="n">
        <v>0.281804</v>
      </c>
      <c r="T89" s="11" t="n">
        <v>119</v>
      </c>
      <c r="U89" s="10" t="n">
        <v>0.281804</v>
      </c>
      <c r="V89" s="11" t="n">
        <v>110</v>
      </c>
      <c r="W89" s="10" t="n">
        <v>0.29786</v>
      </c>
      <c r="X89" s="11" t="n">
        <v>121</v>
      </c>
      <c r="Y89" s="10" t="n">
        <v>0.29786</v>
      </c>
      <c r="Z89" s="11" t="n">
        <v>110</v>
      </c>
      <c r="AA89" s="10" t="n">
        <v>0.0786</v>
      </c>
      <c r="AB89" s="10" t="n">
        <v>0.52</v>
      </c>
      <c r="AC89" s="10" t="n">
        <v>0.3174</v>
      </c>
      <c r="AD89" s="10" t="n">
        <v>0.495</v>
      </c>
      <c r="AE89" s="10" t="n">
        <v>0.375</v>
      </c>
      <c r="AF89" s="10" t="s">
        <v>246</v>
      </c>
      <c r="AG89" s="12" t="n">
        <v>0</v>
      </c>
      <c r="AH89" s="11" t="n">
        <v>-9</v>
      </c>
      <c r="AI89" s="1" t="s">
        <v>87</v>
      </c>
      <c r="AJ89" s="12" t="n">
        <v>3.59</v>
      </c>
      <c r="AK89" s="12" t="n">
        <v>3.65</v>
      </c>
      <c r="AL89" s="12" t="n">
        <v>3.71</v>
      </c>
      <c r="AM89" s="13" t="n">
        <v>-19.9809862740866</v>
      </c>
      <c r="AN89" s="11" t="n">
        <v>105</v>
      </c>
      <c r="AO89" s="11" t="n">
        <v>12</v>
      </c>
      <c r="AP89" s="14" t="s">
        <v>88</v>
      </c>
      <c r="AQ89" s="13" t="n">
        <v>-13.9866903918606</v>
      </c>
      <c r="AR89" s="11" t="n">
        <v>107</v>
      </c>
      <c r="AS89" s="13" t="n">
        <v>-0.888106781950686</v>
      </c>
      <c r="AT89" s="13" t="n">
        <v>-14.8747971738113</v>
      </c>
      <c r="AU89" s="11" t="n">
        <v>112</v>
      </c>
      <c r="AV89" s="10"/>
      <c r="AW89" s="14" t="s">
        <v>89</v>
      </c>
      <c r="AX89" s="14" t="s">
        <v>90</v>
      </c>
      <c r="AY89" s="10" t="n">
        <v>-10.9788561964441</v>
      </c>
      <c r="AZ89" s="10" t="n">
        <v>89.0211438035559</v>
      </c>
      <c r="BA89" s="11" t="n">
        <v>113</v>
      </c>
      <c r="BB89" s="14" t="s">
        <v>91</v>
      </c>
      <c r="BC89" s="10"/>
      <c r="BD89" s="11"/>
      <c r="BE89" s="14" t="s">
        <v>92</v>
      </c>
      <c r="BF89" s="10" t="n">
        <v>0.00826935208718465</v>
      </c>
      <c r="BG89" s="11" t="n">
        <v>88</v>
      </c>
      <c r="BH89" s="11" t="n">
        <v>12</v>
      </c>
      <c r="BI89" s="11" t="n">
        <v>12</v>
      </c>
      <c r="BJ89" s="11" t="n">
        <v>0</v>
      </c>
      <c r="BK89" s="10"/>
      <c r="BL89" s="14" t="s">
        <v>93</v>
      </c>
      <c r="BM89" s="15" t="n">
        <f aca="false">(F89-'Ensemble Parameters'!$B$20)/'Ensemble Parameters'!$C$20</f>
        <v>-0.94853213643821</v>
      </c>
      <c r="BN89" s="15" t="n">
        <f aca="false">(L89-'Ensemble Parameters'!$B$21)/'Ensemble Parameters'!$C$21</f>
        <v>-1.14476108699704</v>
      </c>
      <c r="BO89" s="15" t="n">
        <f aca="false">(S89-'Ensemble Parameters'!$B$22)/'Ensemble Parameters'!$C$22</f>
        <v>-1.36768299659334</v>
      </c>
      <c r="BP89" s="15" t="n">
        <f aca="false">(W89-'Ensemble Parameters'!$B$23)/'Ensemble Parameters'!$C$23</f>
        <v>-1.4943259345049</v>
      </c>
      <c r="BQ89" s="15" t="n">
        <f aca="false">AVERAGE(BO89:BP89)</f>
        <v>-1.43100446554912</v>
      </c>
      <c r="BR89" s="15" t="n">
        <f aca="false">(AQ89-'Ensemble Parameters'!$B$24)/'Ensemble Parameters'!$C$24</f>
        <v>-0.922386953927802</v>
      </c>
      <c r="BS89" s="15" t="n">
        <f aca="false">BM89*'Ensemble Parameters'!$B$5+BN89*'Ensemble Parameters'!$B$6+BQ89*'Ensemble Parameters'!$B$8+BR89*'Ensemble Parameters'!$B$7</f>
        <v>-1.11167116072804</v>
      </c>
      <c r="BT89" s="16" t="n">
        <f aca="false">'Ensemble Parameters'!$B$11+'Ensemble Parameters'!$B$12*BS89</f>
        <v>88.8832883927196</v>
      </c>
      <c r="BU89" s="17" t="n">
        <f aca="false">'Ensemble Parameters'!$B$13*BS89</f>
        <v>-15.5633962501926</v>
      </c>
      <c r="BV89" s="18" t="n">
        <f aca="false">RANK(BT89,$BT$5:$BT$125,0)</f>
        <v>116</v>
      </c>
      <c r="BW89" s="15" t="n">
        <f aca="false">STDEV(BM89,BN89,BQ89,BR89)</f>
        <v>0.234884052941497</v>
      </c>
      <c r="BX89" s="19" t="str">
        <f aca="false">IF(BW89&lt;'Ensemble Parameters'!$B$14,"High",IF(BW89&lt;'Ensemble Parameters'!$B$15,"Moderate","Low"))</f>
        <v>High</v>
      </c>
      <c r="BY89" s="19" t="str">
        <f aca="false">IF(BX89="Low","REVIEW — MODEL DISAGREEMENT","")</f>
        <v/>
      </c>
      <c r="BZ89" s="20" t="n">
        <v>4</v>
      </c>
    </row>
    <row r="90" customFormat="false" ht="15" hidden="false" customHeight="true" outlineLevel="0" collapsed="false">
      <c r="A90" s="7" t="s">
        <v>261</v>
      </c>
      <c r="B90" s="7" t="s">
        <v>262</v>
      </c>
      <c r="C90" s="7" t="s">
        <v>263</v>
      </c>
      <c r="D90" s="7" t="n">
        <v>120</v>
      </c>
      <c r="E90" s="7" t="s">
        <v>263</v>
      </c>
      <c r="F90" s="8" t="n">
        <v>31.768473495</v>
      </c>
      <c r="G90" s="9" t="n">
        <v>16</v>
      </c>
      <c r="H90" s="8" t="n">
        <v>4.52970434134296</v>
      </c>
      <c r="I90" s="8" t="n">
        <v>18.1793604709711</v>
      </c>
      <c r="J90" s="7" t="s">
        <v>83</v>
      </c>
      <c r="K90" s="7" t="s">
        <v>84</v>
      </c>
      <c r="L90" s="8" t="n">
        <v>14.9508853657454</v>
      </c>
      <c r="M90" s="8" t="n">
        <v>114.950885365745</v>
      </c>
      <c r="N90" s="9" t="n">
        <v>16</v>
      </c>
      <c r="O90" s="8" t="n">
        <v>0.766533333333333</v>
      </c>
      <c r="P90" s="8" t="n">
        <v>4.26453333333333</v>
      </c>
      <c r="Q90" s="7" t="s">
        <v>85</v>
      </c>
      <c r="R90" s="1" t="s">
        <v>86</v>
      </c>
      <c r="S90" s="10" t="n">
        <v>0.726512</v>
      </c>
      <c r="T90" s="11" t="n">
        <v>9</v>
      </c>
      <c r="U90" s="10" t="n">
        <v>0.746688</v>
      </c>
      <c r="V90" s="11" t="n">
        <v>10</v>
      </c>
      <c r="W90" s="10" t="n">
        <v>0.72059</v>
      </c>
      <c r="X90" s="11" t="n">
        <v>7</v>
      </c>
      <c r="Y90" s="10" t="n">
        <v>0.74129313699</v>
      </c>
      <c r="Z90" s="11" t="n">
        <v>10</v>
      </c>
      <c r="AA90" s="10" t="n">
        <v>0.674</v>
      </c>
      <c r="AB90" s="10" t="n">
        <v>0.7737</v>
      </c>
      <c r="AC90" s="10" t="n">
        <v>0.5726</v>
      </c>
      <c r="AD90" s="10" t="n">
        <v>0.868</v>
      </c>
      <c r="AE90" s="10" t="n">
        <v>1</v>
      </c>
      <c r="AF90" s="10" t="n">
        <v>0.9535</v>
      </c>
      <c r="AG90" s="12" t="n">
        <v>44.7</v>
      </c>
      <c r="AH90" s="11" t="n">
        <v>1</v>
      </c>
      <c r="AI90" s="1" t="s">
        <v>87</v>
      </c>
      <c r="AJ90" s="12" t="n">
        <v>9.31</v>
      </c>
      <c r="AK90" s="12" t="n">
        <v>9.21</v>
      </c>
      <c r="AL90" s="12" t="n">
        <v>9.18</v>
      </c>
      <c r="AM90" s="13" t="n">
        <v>29.8226673139964</v>
      </c>
      <c r="AN90" s="11" t="n">
        <v>20</v>
      </c>
      <c r="AO90" s="11" t="n">
        <v>13</v>
      </c>
      <c r="AP90" s="14" t="s">
        <v>88</v>
      </c>
      <c r="AQ90" s="13" t="n">
        <v>20.8758671197975</v>
      </c>
      <c r="AR90" s="11" t="n">
        <v>20</v>
      </c>
      <c r="AS90" s="13" t="n">
        <v>1.99348805824971</v>
      </c>
      <c r="AT90" s="13" t="n">
        <v>22.8693551780472</v>
      </c>
      <c r="AU90" s="11" t="n">
        <v>17</v>
      </c>
      <c r="AV90" s="10"/>
      <c r="AW90" s="14" t="s">
        <v>89</v>
      </c>
      <c r="AX90" s="14" t="s">
        <v>90</v>
      </c>
      <c r="AY90" s="10" t="n">
        <v>18.5211399112</v>
      </c>
      <c r="AZ90" s="10" t="n">
        <v>118.5211399112</v>
      </c>
      <c r="BA90" s="11" t="n">
        <v>13</v>
      </c>
      <c r="BB90" s="14" t="s">
        <v>91</v>
      </c>
      <c r="BC90" s="10"/>
      <c r="BD90" s="11"/>
      <c r="BE90" s="14" t="s">
        <v>92</v>
      </c>
      <c r="BF90" s="10" t="n">
        <v>0.00829069489002934</v>
      </c>
      <c r="BG90" s="11" t="n">
        <v>61</v>
      </c>
      <c r="BH90" s="11" t="n">
        <v>12</v>
      </c>
      <c r="BI90" s="11" t="n">
        <v>12</v>
      </c>
      <c r="BJ90" s="11" t="n">
        <v>0</v>
      </c>
      <c r="BK90" s="10"/>
      <c r="BL90" s="14" t="s">
        <v>93</v>
      </c>
      <c r="BM90" s="15" t="n">
        <f aca="false">(F90-'Ensemble Parameters'!$B$20)/'Ensemble Parameters'!$C$20</f>
        <v>1.51837875771317</v>
      </c>
      <c r="BN90" s="15" t="n">
        <f aca="false">(L90-'Ensemble Parameters'!$B$21)/'Ensemble Parameters'!$C$21</f>
        <v>1.56716584854293</v>
      </c>
      <c r="BO90" s="15" t="n">
        <f aca="false">(S90-'Ensemble Parameters'!$B$22)/'Ensemble Parameters'!$C$22</f>
        <v>1.73354941608494</v>
      </c>
      <c r="BP90" s="15" t="n">
        <f aca="false">(W90-'Ensemble Parameters'!$B$23)/'Ensemble Parameters'!$C$23</f>
        <v>1.8179673107681</v>
      </c>
      <c r="BQ90" s="15" t="n">
        <f aca="false">AVERAGE(BO90:BP90)</f>
        <v>1.77575836342652</v>
      </c>
      <c r="BR90" s="15" t="n">
        <f aca="false">(AQ90-'Ensemble Parameters'!$B$24)/'Ensemble Parameters'!$C$24</f>
        <v>1.39086650148283</v>
      </c>
      <c r="BS90" s="15" t="n">
        <f aca="false">BM90*'Ensemble Parameters'!$B$5+BN90*'Ensemble Parameters'!$B$6+BQ90*'Ensemble Parameters'!$B$8+BR90*'Ensemble Parameters'!$B$7</f>
        <v>1.56304236779136</v>
      </c>
      <c r="BT90" s="16" t="n">
        <f aca="false">'Ensemble Parameters'!$B$11+'Ensemble Parameters'!$B$12*BS90</f>
        <v>115.630423677914</v>
      </c>
      <c r="BU90" s="17" t="n">
        <f aca="false">'Ensemble Parameters'!$B$13*BS90</f>
        <v>21.8825931490791</v>
      </c>
      <c r="BV90" s="18" t="n">
        <f aca="false">RANK(BT90,$BT$5:$BT$125,0)</f>
        <v>15</v>
      </c>
      <c r="BW90" s="15" t="n">
        <f aca="false">STDEV(BM90,BN90,BQ90,BR90)</f>
        <v>0.160108780622087</v>
      </c>
      <c r="BX90" s="19" t="str">
        <f aca="false">IF(BW90&lt;'Ensemble Parameters'!$B$14,"High",IF(BW90&lt;'Ensemble Parameters'!$B$15,"Moderate","Low"))</f>
        <v>High</v>
      </c>
      <c r="BY90" s="19" t="str">
        <f aca="false">IF(BX90="Low","REVIEW — MODEL DISAGREEMENT","")</f>
        <v/>
      </c>
      <c r="BZ90" s="20" t="n">
        <v>4</v>
      </c>
    </row>
    <row r="91" customFormat="false" ht="15" hidden="false" customHeight="true" outlineLevel="0" collapsed="false">
      <c r="A91" s="7" t="s">
        <v>261</v>
      </c>
      <c r="B91" s="7" t="s">
        <v>264</v>
      </c>
      <c r="C91" s="7" t="s">
        <v>264</v>
      </c>
      <c r="D91" s="7" t="n">
        <v>121</v>
      </c>
      <c r="E91" s="7" t="s">
        <v>264</v>
      </c>
      <c r="F91" s="8" t="n">
        <v>28.544037343</v>
      </c>
      <c r="G91" s="9" t="n">
        <v>28</v>
      </c>
      <c r="H91" s="8" t="n">
        <v>4.21037940628683</v>
      </c>
      <c r="I91" s="8" t="n">
        <v>15.9128991241395</v>
      </c>
      <c r="J91" s="7" t="s">
        <v>83</v>
      </c>
      <c r="K91" s="7" t="s">
        <v>84</v>
      </c>
      <c r="L91" s="8" t="n">
        <v>-3.62378641035159</v>
      </c>
      <c r="M91" s="8" t="n">
        <v>96.3762135896484</v>
      </c>
      <c r="N91" s="9" t="n">
        <v>68</v>
      </c>
      <c r="O91" s="8" t="n">
        <v>0.36612380952381</v>
      </c>
      <c r="P91" s="8" t="n">
        <v>-2.14201904761905</v>
      </c>
      <c r="Q91" s="7" t="s">
        <v>85</v>
      </c>
      <c r="R91" s="1" t="s">
        <v>86</v>
      </c>
      <c r="S91" s="10" t="n">
        <v>0.414855</v>
      </c>
      <c r="T91" s="11" t="n">
        <v>71</v>
      </c>
      <c r="U91" s="10" t="n">
        <v>0.42101</v>
      </c>
      <c r="V91" s="11" t="n">
        <v>82</v>
      </c>
      <c r="W91" s="10" t="n">
        <v>0.41451</v>
      </c>
      <c r="X91" s="11" t="n">
        <v>79</v>
      </c>
      <c r="Y91" s="10" t="n">
        <v>0.42069578551</v>
      </c>
      <c r="Z91" s="11" t="n">
        <v>82</v>
      </c>
      <c r="AA91" s="10" t="n">
        <v>0.4788</v>
      </c>
      <c r="AB91" s="10" t="n">
        <v>0.2834</v>
      </c>
      <c r="AC91" s="10" t="n">
        <v>0.4534</v>
      </c>
      <c r="AD91" s="10" t="n">
        <v>0.394</v>
      </c>
      <c r="AE91" s="10" t="n">
        <v>0.375</v>
      </c>
      <c r="AF91" s="10" t="n">
        <v>0.4841</v>
      </c>
      <c r="AG91" s="12" t="n">
        <v>12.71</v>
      </c>
      <c r="AH91" s="11" t="n">
        <v>11</v>
      </c>
      <c r="AI91" s="1" t="s">
        <v>87</v>
      </c>
      <c r="AJ91" s="12" t="n">
        <v>6.59</v>
      </c>
      <c r="AK91" s="12" t="n">
        <v>6.25</v>
      </c>
      <c r="AL91" s="12" t="n">
        <v>4.44</v>
      </c>
      <c r="AM91" s="13" t="n">
        <v>-3.42640848409458</v>
      </c>
      <c r="AN91" s="11" t="n">
        <v>46</v>
      </c>
      <c r="AO91" s="11" t="n">
        <v>13</v>
      </c>
      <c r="AP91" s="14" t="s">
        <v>88</v>
      </c>
      <c r="AQ91" s="13" t="n">
        <v>-2.39848593886621</v>
      </c>
      <c r="AR91" s="11" t="n">
        <v>46</v>
      </c>
      <c r="AS91" s="13" t="n">
        <v>-2.90468250353775</v>
      </c>
      <c r="AT91" s="13" t="n">
        <v>-5.30316844240396</v>
      </c>
      <c r="AU91" s="11" t="n">
        <v>57</v>
      </c>
      <c r="AV91" s="10"/>
      <c r="AW91" s="14" t="s">
        <v>89</v>
      </c>
      <c r="AX91" s="14" t="s">
        <v>90</v>
      </c>
      <c r="AY91" s="10" t="n">
        <v>-3.80873186489704</v>
      </c>
      <c r="AZ91" s="10" t="n">
        <v>96.191268135103</v>
      </c>
      <c r="BA91" s="11" t="n">
        <v>67</v>
      </c>
      <c r="BB91" s="14" t="s">
        <v>91</v>
      </c>
      <c r="BC91" s="10"/>
      <c r="BD91" s="11"/>
      <c r="BE91" s="14" t="s">
        <v>92</v>
      </c>
      <c r="BF91" s="10" t="n">
        <v>0.00829273067913958</v>
      </c>
      <c r="BG91" s="11" t="n">
        <v>57</v>
      </c>
      <c r="BH91" s="11" t="n">
        <v>12</v>
      </c>
      <c r="BI91" s="11" t="n">
        <v>12</v>
      </c>
      <c r="BJ91" s="11" t="n">
        <v>0</v>
      </c>
      <c r="BK91" s="10"/>
      <c r="BL91" s="14" t="s">
        <v>93</v>
      </c>
      <c r="BM91" s="15" t="n">
        <f aca="false">(F91-'Ensemble Parameters'!$B$20)/'Ensemble Parameters'!$C$20</f>
        <v>0.778708452922752</v>
      </c>
      <c r="BN91" s="15" t="n">
        <f aca="false">(L91-'Ensemble Parameters'!$B$21)/'Ensemble Parameters'!$C$21</f>
        <v>-0.379848695631669</v>
      </c>
      <c r="BO91" s="15" t="n">
        <f aca="false">(S91-'Ensemble Parameters'!$B$22)/'Ensemble Parameters'!$C$22</f>
        <v>-0.439833545404563</v>
      </c>
      <c r="BP91" s="15" t="n">
        <f aca="false">(W91-'Ensemble Parameters'!$B$23)/'Ensemble Parameters'!$C$23</f>
        <v>-0.580316975923546</v>
      </c>
      <c r="BQ91" s="15" t="n">
        <f aca="false">AVERAGE(BO91:BP91)</f>
        <v>-0.510075260664055</v>
      </c>
      <c r="BR91" s="15" t="n">
        <f aca="false">(AQ91-'Ensemble Parameters'!$B$24)/'Ensemble Parameters'!$C$24</f>
        <v>-0.153468781933966</v>
      </c>
      <c r="BS91" s="15" t="n">
        <f aca="false">BM91*'Ensemble Parameters'!$B$5+BN91*'Ensemble Parameters'!$B$6+BQ91*'Ensemble Parameters'!$B$8+BR91*'Ensemble Parameters'!$B$7</f>
        <v>-0.0661710713267345</v>
      </c>
      <c r="BT91" s="16" t="n">
        <f aca="false">'Ensemble Parameters'!$B$11+'Ensemble Parameters'!$B$12*BS91</f>
        <v>99.3382892867327</v>
      </c>
      <c r="BU91" s="17" t="n">
        <f aca="false">'Ensemble Parameters'!$B$13*BS91</f>
        <v>-0.926394998574282</v>
      </c>
      <c r="BV91" s="18" t="n">
        <f aca="false">RANK(BT91,$BT$5:$BT$125,0)</f>
        <v>47</v>
      </c>
      <c r="BW91" s="15" t="n">
        <f aca="false">STDEV(BM91,BN91,BQ91,BR91)</f>
        <v>0.582204683959778</v>
      </c>
      <c r="BX91" s="19" t="str">
        <f aca="false">IF(BW91&lt;'Ensemble Parameters'!$B$14,"High",IF(BW91&lt;'Ensemble Parameters'!$B$15,"Moderate","Low"))</f>
        <v>Moderate</v>
      </c>
      <c r="BY91" s="19" t="str">
        <f aca="false">IF(BX91="Low","REVIEW — MODEL DISAGREEMENT","")</f>
        <v/>
      </c>
      <c r="BZ91" s="20" t="n">
        <v>4</v>
      </c>
    </row>
    <row r="92" customFormat="false" ht="15" hidden="false" customHeight="true" outlineLevel="0" collapsed="false">
      <c r="A92" s="7" t="s">
        <v>265</v>
      </c>
      <c r="B92" s="7" t="s">
        <v>266</v>
      </c>
      <c r="C92" s="7" t="s">
        <v>267</v>
      </c>
      <c r="D92" s="7" t="n">
        <v>76</v>
      </c>
      <c r="E92" s="7" t="s">
        <v>267</v>
      </c>
      <c r="F92" s="8" t="n">
        <v>22.106588031</v>
      </c>
      <c r="G92" s="9" t="n">
        <v>86</v>
      </c>
      <c r="H92" s="8" t="n">
        <v>4.11185677748819</v>
      </c>
      <c r="I92" s="8" t="n">
        <v>9.77101769853545</v>
      </c>
      <c r="J92" s="7" t="s">
        <v>83</v>
      </c>
      <c r="K92" s="7" t="s">
        <v>84</v>
      </c>
      <c r="L92" s="8" t="n">
        <v>-8.24572747821174</v>
      </c>
      <c r="M92" s="8" t="n">
        <v>91.7542725217883</v>
      </c>
      <c r="N92" s="9" t="n">
        <v>95</v>
      </c>
      <c r="O92" s="8" t="n">
        <v>0.547952941176471</v>
      </c>
      <c r="P92" s="8" t="n">
        <v>0.76724705882353</v>
      </c>
      <c r="Q92" s="7" t="s">
        <v>85</v>
      </c>
      <c r="R92" s="1" t="s">
        <v>86</v>
      </c>
      <c r="S92" s="10" t="n">
        <v>0.354465</v>
      </c>
      <c r="T92" s="11" t="n">
        <v>92</v>
      </c>
      <c r="U92" s="10" t="n">
        <v>0.367694</v>
      </c>
      <c r="V92" s="11" t="n">
        <v>85</v>
      </c>
      <c r="W92" s="10" t="n">
        <v>0.372761111111111</v>
      </c>
      <c r="X92" s="11" t="n">
        <v>94</v>
      </c>
      <c r="Y92" s="10" t="n">
        <v>0.384364582405556</v>
      </c>
      <c r="Z92" s="11" t="n">
        <v>85</v>
      </c>
      <c r="AA92" s="10" t="n">
        <v>0.1489</v>
      </c>
      <c r="AB92" s="10" t="n">
        <v>0.6451</v>
      </c>
      <c r="AC92" s="10" t="n">
        <v>0.3174</v>
      </c>
      <c r="AD92" s="10"/>
      <c r="AE92" s="10" t="n">
        <v>0.75</v>
      </c>
      <c r="AF92" s="10" t="n">
        <v>0.5033</v>
      </c>
      <c r="AG92" s="12" t="n">
        <v>0</v>
      </c>
      <c r="AH92" s="11" t="n">
        <v>-7</v>
      </c>
      <c r="AI92" s="1" t="s">
        <v>87</v>
      </c>
      <c r="AJ92" s="12" t="n">
        <v>5.28</v>
      </c>
      <c r="AK92" s="12" t="n">
        <v>5.34</v>
      </c>
      <c r="AL92" s="12" t="n">
        <v>6.57</v>
      </c>
      <c r="AM92" s="13" t="n">
        <v>-20.3991608024098</v>
      </c>
      <c r="AN92" s="11" t="n">
        <v>108</v>
      </c>
      <c r="AO92" s="11" t="n">
        <v>12</v>
      </c>
      <c r="AP92" s="14" t="s">
        <v>88</v>
      </c>
      <c r="AQ92" s="13" t="n">
        <v>-14.2794125616869</v>
      </c>
      <c r="AR92" s="11" t="n">
        <v>110</v>
      </c>
      <c r="AS92" s="13" t="n">
        <v>0.0419637187160888</v>
      </c>
      <c r="AT92" s="13" t="n">
        <v>-14.2374488429708</v>
      </c>
      <c r="AU92" s="11" t="n">
        <v>109</v>
      </c>
      <c r="AV92" s="10"/>
      <c r="AW92" s="14" t="s">
        <v>89</v>
      </c>
      <c r="AX92" s="14" t="s">
        <v>90</v>
      </c>
      <c r="AY92" s="10" t="n">
        <v>-8.2770729327572</v>
      </c>
      <c r="AZ92" s="10" t="n">
        <v>91.7229270672428</v>
      </c>
      <c r="BA92" s="11" t="n">
        <v>95</v>
      </c>
      <c r="BB92" s="14" t="s">
        <v>91</v>
      </c>
      <c r="BC92" s="10"/>
      <c r="BD92" s="11"/>
      <c r="BE92" s="14" t="s">
        <v>92</v>
      </c>
      <c r="BF92" s="10" t="n">
        <v>0.00833308303578069</v>
      </c>
      <c r="BG92" s="11" t="n">
        <v>18</v>
      </c>
      <c r="BH92" s="11" t="n">
        <v>12</v>
      </c>
      <c r="BI92" s="11" t="n">
        <v>12</v>
      </c>
      <c r="BJ92" s="11" t="n">
        <v>0</v>
      </c>
      <c r="BK92" s="10"/>
      <c r="BL92" s="14" t="s">
        <v>93</v>
      </c>
      <c r="BM92" s="15" t="n">
        <f aca="false">(F92-'Ensemble Parameters'!$B$20)/'Ensemble Parameters'!$C$20</f>
        <v>-0.698011776667305</v>
      </c>
      <c r="BN92" s="15" t="n">
        <f aca="false">(L92-'Ensemble Parameters'!$B$21)/'Ensemble Parameters'!$C$21</f>
        <v>-0.864324900106089</v>
      </c>
      <c r="BO92" s="15" t="n">
        <f aca="false">(S92-'Ensemble Parameters'!$B$22)/'Ensemble Parameters'!$C$22</f>
        <v>-0.860971517740661</v>
      </c>
      <c r="BP92" s="15" t="n">
        <f aca="false">(W92-'Ensemble Parameters'!$B$23)/'Ensemble Parameters'!$C$23</f>
        <v>-0.907439637348852</v>
      </c>
      <c r="BQ92" s="15" t="n">
        <f aca="false">AVERAGE(BO92:BP92)</f>
        <v>-0.884205577544757</v>
      </c>
      <c r="BR92" s="15" t="n">
        <f aca="false">(AQ92-'Ensemble Parameters'!$B$24)/'Ensemble Parameters'!$C$24</f>
        <v>-0.941810100683445</v>
      </c>
      <c r="BS92" s="15" t="n">
        <f aca="false">BM92*'Ensemble Parameters'!$B$5+BN92*'Ensemble Parameters'!$B$6+BQ92*'Ensemble Parameters'!$B$8+BR92*'Ensemble Parameters'!$B$7</f>
        <v>-0.847088088750399</v>
      </c>
      <c r="BT92" s="16" t="n">
        <f aca="false">'Ensemble Parameters'!$B$11+'Ensemble Parameters'!$B$12*BS92</f>
        <v>91.529119112496</v>
      </c>
      <c r="BU92" s="17" t="n">
        <f aca="false">'Ensemble Parameters'!$B$13*BS92</f>
        <v>-11.8592332425056</v>
      </c>
      <c r="BV92" s="18" t="n">
        <f aca="false">RANK(BT92,$BT$5:$BT$125,0)</f>
        <v>101</v>
      </c>
      <c r="BW92" s="15" t="n">
        <f aca="false">STDEV(BM92,BN92,BQ92,BR92)</f>
        <v>0.104675406231281</v>
      </c>
      <c r="BX92" s="19" t="str">
        <f aca="false">IF(BW92&lt;'Ensemble Parameters'!$B$14,"High",IF(BW92&lt;'Ensemble Parameters'!$B$15,"Moderate","Low"))</f>
        <v>High</v>
      </c>
      <c r="BY92" s="19" t="str">
        <f aca="false">IF(BX92="Low","REVIEW — MODEL DISAGREEMENT","")</f>
        <v/>
      </c>
      <c r="BZ92" s="20" t="n">
        <v>4</v>
      </c>
    </row>
    <row r="93" customFormat="false" ht="15" hidden="false" customHeight="true" outlineLevel="0" collapsed="false">
      <c r="A93" s="7" t="s">
        <v>265</v>
      </c>
      <c r="B93" s="7" t="s">
        <v>268</v>
      </c>
      <c r="C93" s="7" t="s">
        <v>269</v>
      </c>
      <c r="D93" s="7" t="n">
        <v>77</v>
      </c>
      <c r="E93" s="7" t="s">
        <v>269</v>
      </c>
      <c r="F93" s="8" t="n">
        <v>21.203917416</v>
      </c>
      <c r="G93" s="9" t="n">
        <v>101</v>
      </c>
      <c r="H93" s="8" t="n">
        <v>4.0644673459537</v>
      </c>
      <c r="I93" s="8" t="n">
        <v>9.01051537813891</v>
      </c>
      <c r="J93" s="7" t="s">
        <v>83</v>
      </c>
      <c r="K93" s="7" t="s">
        <v>84</v>
      </c>
      <c r="L93" s="8" t="n">
        <v>-7.98964593752428</v>
      </c>
      <c r="M93" s="8" t="n">
        <v>92.0103540624757</v>
      </c>
      <c r="N93" s="9" t="n">
        <v>94</v>
      </c>
      <c r="O93" s="8" t="n">
        <v>0.510371428571429</v>
      </c>
      <c r="P93" s="8" t="n">
        <v>0.165942857142857</v>
      </c>
      <c r="Q93" s="7" t="s">
        <v>85</v>
      </c>
      <c r="R93" s="1" t="s">
        <v>86</v>
      </c>
      <c r="S93" s="10" t="n">
        <v>0.358853</v>
      </c>
      <c r="T93" s="11" t="n">
        <v>88</v>
      </c>
      <c r="U93" s="10" t="n">
        <v>0.379427</v>
      </c>
      <c r="V93" s="11" t="n">
        <v>88</v>
      </c>
      <c r="W93" s="10" t="n">
        <v>0.386625</v>
      </c>
      <c r="X93" s="11" t="n">
        <v>86</v>
      </c>
      <c r="Y93" s="10" t="n">
        <v>0.404729467075</v>
      </c>
      <c r="Z93" s="11" t="n">
        <v>88</v>
      </c>
      <c r="AA93" s="10" t="n">
        <v>0.16</v>
      </c>
      <c r="AB93" s="10" t="n">
        <v>0.5509</v>
      </c>
      <c r="AC93" s="10" t="n">
        <v>0.4393</v>
      </c>
      <c r="AD93" s="10" t="n">
        <v>0.3562</v>
      </c>
      <c r="AE93" s="10" t="n">
        <v>0.75</v>
      </c>
      <c r="AF93" s="10" t="n">
        <v>0.5903</v>
      </c>
      <c r="AG93" s="12" t="n">
        <v>10.2</v>
      </c>
      <c r="AH93" s="11" t="n">
        <v>0</v>
      </c>
      <c r="AI93" s="1" t="s">
        <v>87</v>
      </c>
      <c r="AJ93" s="12" t="n">
        <v>5.38</v>
      </c>
      <c r="AK93" s="12" t="n">
        <v>5.55</v>
      </c>
      <c r="AL93" s="12" t="n">
        <v>6.21</v>
      </c>
      <c r="AM93" s="13" t="n">
        <v>-17.2156635013367</v>
      </c>
      <c r="AN93" s="11" t="n">
        <v>92</v>
      </c>
      <c r="AO93" s="11" t="n">
        <v>12</v>
      </c>
      <c r="AP93" s="14" t="s">
        <v>88</v>
      </c>
      <c r="AQ93" s="13" t="n">
        <v>-12.0509644509357</v>
      </c>
      <c r="AR93" s="11" t="n">
        <v>94</v>
      </c>
      <c r="AS93" s="13" t="n">
        <v>0.236908068781363</v>
      </c>
      <c r="AT93" s="13" t="n">
        <v>-11.8140563821543</v>
      </c>
      <c r="AU93" s="11" t="n">
        <v>93</v>
      </c>
      <c r="AV93" s="10"/>
      <c r="AW93" s="14" t="s">
        <v>89</v>
      </c>
      <c r="AX93" s="14" t="s">
        <v>90</v>
      </c>
      <c r="AY93" s="10" t="n">
        <v>-7.32499139206974</v>
      </c>
      <c r="AZ93" s="10" t="n">
        <v>92.6750086079303</v>
      </c>
      <c r="BA93" s="11" t="n">
        <v>89</v>
      </c>
      <c r="BB93" s="14" t="s">
        <v>91</v>
      </c>
      <c r="BC93" s="10"/>
      <c r="BD93" s="11"/>
      <c r="BE93" s="14" t="s">
        <v>92</v>
      </c>
      <c r="BF93" s="10" t="n">
        <v>0.00833641240118445</v>
      </c>
      <c r="BG93" s="11" t="n">
        <v>15</v>
      </c>
      <c r="BH93" s="11" t="n">
        <v>12</v>
      </c>
      <c r="BI93" s="11" t="n">
        <v>12</v>
      </c>
      <c r="BJ93" s="11" t="n">
        <v>0</v>
      </c>
      <c r="BK93" s="10"/>
      <c r="BL93" s="14" t="s">
        <v>93</v>
      </c>
      <c r="BM93" s="15" t="n">
        <f aca="false">(F93-'Ensemble Parameters'!$B$20)/'Ensemble Parameters'!$C$20</f>
        <v>-0.905080118990744</v>
      </c>
      <c r="BN93" s="15" t="n">
        <f aca="false">(L93-'Ensemble Parameters'!$B$21)/'Ensemble Parameters'!$C$21</f>
        <v>-0.837482192454331</v>
      </c>
      <c r="BO93" s="15" t="n">
        <f aca="false">(S93-'Ensemble Parameters'!$B$22)/'Ensemble Parameters'!$C$22</f>
        <v>-0.830371196121009</v>
      </c>
      <c r="BP93" s="15" t="n">
        <f aca="false">(W93-'Ensemble Parameters'!$B$23)/'Ensemble Parameters'!$C$23</f>
        <v>-0.798809387496979</v>
      </c>
      <c r="BQ93" s="15" t="n">
        <f aca="false">AVERAGE(BO93:BP93)</f>
        <v>-0.814590291808994</v>
      </c>
      <c r="BR93" s="15" t="n">
        <f aca="false">(AQ93-'Ensemble Parameters'!$B$24)/'Ensemble Parameters'!$C$24</f>
        <v>-0.793944721309753</v>
      </c>
      <c r="BS93" s="15" t="n">
        <f aca="false">BM93*'Ensemble Parameters'!$B$5+BN93*'Ensemble Parameters'!$B$6+BQ93*'Ensemble Parameters'!$B$8+BR93*'Ensemble Parameters'!$B$7</f>
        <v>-0.837774331140956</v>
      </c>
      <c r="BT93" s="16" t="n">
        <f aca="false">'Ensemble Parameters'!$B$11+'Ensemble Parameters'!$B$12*BS93</f>
        <v>91.6222566885904</v>
      </c>
      <c r="BU93" s="17" t="n">
        <f aca="false">'Ensemble Parameters'!$B$13*BS93</f>
        <v>-11.7288406359734</v>
      </c>
      <c r="BV93" s="18" t="n">
        <f aca="false">RANK(BT93,$BT$5:$BT$125,0)</f>
        <v>99</v>
      </c>
      <c r="BW93" s="15" t="n">
        <f aca="false">STDEV(BM93,BN93,BQ93,BR93)</f>
        <v>0.0482655460302496</v>
      </c>
      <c r="BX93" s="19" t="str">
        <f aca="false">IF(BW93&lt;'Ensemble Parameters'!$B$14,"High",IF(BW93&lt;'Ensemble Parameters'!$B$15,"Moderate","Low"))</f>
        <v>High</v>
      </c>
      <c r="BY93" s="19" t="str">
        <f aca="false">IF(BX93="Low","REVIEW — MODEL DISAGREEMENT","")</f>
        <v/>
      </c>
      <c r="BZ93" s="20" t="n">
        <v>4</v>
      </c>
    </row>
    <row r="94" customFormat="false" ht="15" hidden="false" customHeight="true" outlineLevel="0" collapsed="false">
      <c r="A94" s="7" t="s">
        <v>265</v>
      </c>
      <c r="B94" s="7" t="s">
        <v>270</v>
      </c>
      <c r="C94" s="7" t="s">
        <v>271</v>
      </c>
      <c r="D94" s="7" t="n">
        <v>78</v>
      </c>
      <c r="E94" s="7" t="s">
        <v>271</v>
      </c>
      <c r="F94" s="8" t="n">
        <v>24.36811574</v>
      </c>
      <c r="G94" s="9" t="n">
        <v>54</v>
      </c>
      <c r="H94" s="8" t="n">
        <v>3.94086457282579</v>
      </c>
      <c r="I94" s="8" t="n">
        <v>12.5455220215226</v>
      </c>
      <c r="J94" s="7" t="s">
        <v>83</v>
      </c>
      <c r="K94" s="7" t="s">
        <v>84</v>
      </c>
      <c r="L94" s="8" t="n">
        <v>-7.21109227390273</v>
      </c>
      <c r="M94" s="8" t="n">
        <v>92.7889077260973</v>
      </c>
      <c r="N94" s="9" t="n">
        <v>90</v>
      </c>
      <c r="O94" s="8" t="n">
        <v>0.484466666666667</v>
      </c>
      <c r="P94" s="8" t="n">
        <v>-0.248533333333334</v>
      </c>
      <c r="Q94" s="7" t="s">
        <v>85</v>
      </c>
      <c r="R94" s="1" t="s">
        <v>86</v>
      </c>
      <c r="S94" s="10" t="n">
        <v>0.390175</v>
      </c>
      <c r="T94" s="11" t="n">
        <v>86</v>
      </c>
      <c r="U94" s="10" t="n">
        <v>0.384319</v>
      </c>
      <c r="V94" s="11" t="n">
        <v>94</v>
      </c>
      <c r="W94" s="10" t="n">
        <v>0.410645</v>
      </c>
      <c r="X94" s="11" t="n">
        <v>88</v>
      </c>
      <c r="Y94" s="10" t="n">
        <v>0.402969879295</v>
      </c>
      <c r="Z94" s="11" t="n">
        <v>94</v>
      </c>
      <c r="AA94" s="10" t="n">
        <v>0.2664</v>
      </c>
      <c r="AB94" s="10" t="n">
        <v>0.4596</v>
      </c>
      <c r="AC94" s="10" t="n">
        <v>0.4431</v>
      </c>
      <c r="AD94" s="10" t="n">
        <v>0.3971</v>
      </c>
      <c r="AE94" s="10" t="n">
        <v>0.75</v>
      </c>
      <c r="AF94" s="10" t="n">
        <v>0.3243</v>
      </c>
      <c r="AG94" s="12" t="n">
        <v>10.86</v>
      </c>
      <c r="AH94" s="11" t="n">
        <v>8</v>
      </c>
      <c r="AI94" s="1" t="s">
        <v>87</v>
      </c>
      <c r="AJ94" s="12" t="n">
        <v>6.01</v>
      </c>
      <c r="AK94" s="12" t="n">
        <v>5.98</v>
      </c>
      <c r="AL94" s="12" t="n">
        <v>5.97</v>
      </c>
      <c r="AM94" s="13" t="n">
        <v>-14.422892787859</v>
      </c>
      <c r="AN94" s="11" t="n">
        <v>87</v>
      </c>
      <c r="AO94" s="11" t="n">
        <v>13</v>
      </c>
      <c r="AP94" s="14" t="s">
        <v>88</v>
      </c>
      <c r="AQ94" s="13" t="n">
        <v>-10.0960249515013</v>
      </c>
      <c r="AR94" s="11" t="n">
        <v>89</v>
      </c>
      <c r="AS94" s="13" t="n">
        <v>-0.464306358159447</v>
      </c>
      <c r="AT94" s="13" t="n">
        <v>-10.5603313096607</v>
      </c>
      <c r="AU94" s="11" t="n">
        <v>89</v>
      </c>
      <c r="AV94" s="10"/>
      <c r="AW94" s="14" t="s">
        <v>89</v>
      </c>
      <c r="AX94" s="14" t="s">
        <v>90</v>
      </c>
      <c r="AY94" s="10" t="n">
        <v>-8.67443772844818</v>
      </c>
      <c r="AZ94" s="10" t="n">
        <v>91.3255622715518</v>
      </c>
      <c r="BA94" s="11" t="n">
        <v>97</v>
      </c>
      <c r="BB94" s="14" t="s">
        <v>91</v>
      </c>
      <c r="BC94" s="10"/>
      <c r="BD94" s="11"/>
      <c r="BE94" s="14" t="s">
        <v>92</v>
      </c>
      <c r="BF94" s="10" t="n">
        <v>0.00833279294766027</v>
      </c>
      <c r="BG94" s="11" t="n">
        <v>19</v>
      </c>
      <c r="BH94" s="11" t="n">
        <v>12</v>
      </c>
      <c r="BI94" s="11" t="n">
        <v>12</v>
      </c>
      <c r="BJ94" s="11" t="n">
        <v>0</v>
      </c>
      <c r="BK94" s="10"/>
      <c r="BL94" s="14" t="s">
        <v>93</v>
      </c>
      <c r="BM94" s="15" t="n">
        <f aca="false">(F94-'Ensemble Parameters'!$B$20)/'Ensemble Parameters'!$C$20</f>
        <v>-0.17922808520843</v>
      </c>
      <c r="BN94" s="15" t="n">
        <f aca="false">(L94-'Ensemble Parameters'!$B$21)/'Ensemble Parameters'!$C$21</f>
        <v>-0.755873466078758</v>
      </c>
      <c r="BO94" s="15" t="n">
        <f aca="false">(S94-'Ensemble Parameters'!$B$22)/'Ensemble Parameters'!$C$22</f>
        <v>-0.611942920421203</v>
      </c>
      <c r="BP94" s="15" t="n">
        <f aca="false">(W94-'Ensemble Parameters'!$B$23)/'Ensemble Parameters'!$C$23</f>
        <v>-0.610601113299602</v>
      </c>
      <c r="BQ94" s="15" t="n">
        <f aca="false">AVERAGE(BO94:BP94)</f>
        <v>-0.611272016860402</v>
      </c>
      <c r="BR94" s="15" t="n">
        <f aca="false">(AQ94-'Ensemble Parameters'!$B$24)/'Ensemble Parameters'!$C$24</f>
        <v>-0.664227601426247</v>
      </c>
      <c r="BS94" s="15" t="n">
        <f aca="false">BM94*'Ensemble Parameters'!$B$5+BN94*'Ensemble Parameters'!$B$6+BQ94*'Ensemble Parameters'!$B$8+BR94*'Ensemble Parameters'!$B$7</f>
        <v>-0.55265029239346</v>
      </c>
      <c r="BT94" s="16" t="n">
        <f aca="false">'Ensemble Parameters'!$B$11+'Ensemble Parameters'!$B$12*BS94</f>
        <v>94.4734970760654</v>
      </c>
      <c r="BU94" s="17" t="n">
        <f aca="false">'Ensemble Parameters'!$B$13*BS94</f>
        <v>-7.73710409350844</v>
      </c>
      <c r="BV94" s="18" t="n">
        <f aca="false">RANK(BT94,$BT$5:$BT$125,0)</f>
        <v>77</v>
      </c>
      <c r="BW94" s="15" t="n">
        <f aca="false">STDEV(BM94,BN94,BQ94,BR94)</f>
        <v>0.256014195968466</v>
      </c>
      <c r="BX94" s="19" t="str">
        <f aca="false">IF(BW94&lt;'Ensemble Parameters'!$B$14,"High",IF(BW94&lt;'Ensemble Parameters'!$B$15,"Moderate","Low"))</f>
        <v>High</v>
      </c>
      <c r="BY94" s="19" t="str">
        <f aca="false">IF(BX94="Low","REVIEW — MODEL DISAGREEMENT","")</f>
        <v/>
      </c>
      <c r="BZ94" s="20" t="n">
        <v>4</v>
      </c>
    </row>
    <row r="95" customFormat="false" ht="15" hidden="false" customHeight="true" outlineLevel="0" collapsed="false">
      <c r="A95" s="7" t="s">
        <v>265</v>
      </c>
      <c r="B95" s="7" t="s">
        <v>272</v>
      </c>
      <c r="C95" s="7" t="s">
        <v>273</v>
      </c>
      <c r="D95" s="7" t="n">
        <v>79</v>
      </c>
      <c r="E95" s="7" t="s">
        <v>273</v>
      </c>
      <c r="F95" s="8" t="n">
        <v>22.721572268</v>
      </c>
      <c r="G95" s="9" t="n">
        <v>76</v>
      </c>
      <c r="H95" s="8" t="n">
        <v>3.97004859732755</v>
      </c>
      <c r="I95" s="8" t="n">
        <v>10.8114264760174</v>
      </c>
      <c r="J95" s="7" t="s">
        <v>83</v>
      </c>
      <c r="K95" s="7" t="s">
        <v>84</v>
      </c>
      <c r="L95" s="8" t="n">
        <v>-6.83961384673224</v>
      </c>
      <c r="M95" s="8" t="n">
        <v>93.1603861532678</v>
      </c>
      <c r="N95" s="9" t="n">
        <v>88</v>
      </c>
      <c r="O95" s="8" t="n">
        <v>0.581819047619048</v>
      </c>
      <c r="P95" s="8" t="n">
        <v>1.30910476190476</v>
      </c>
      <c r="Q95" s="7" t="s">
        <v>85</v>
      </c>
      <c r="R95" s="1" t="s">
        <v>86</v>
      </c>
      <c r="S95" s="10" t="n">
        <v>0.420471</v>
      </c>
      <c r="T95" s="11" t="n">
        <v>68</v>
      </c>
      <c r="U95" s="10" t="n">
        <v>0.428393</v>
      </c>
      <c r="V95" s="11" t="n">
        <v>70</v>
      </c>
      <c r="W95" s="10" t="n">
        <v>0.4412</v>
      </c>
      <c r="X95" s="11" t="n">
        <v>67</v>
      </c>
      <c r="Y95" s="10" t="n">
        <v>0.4472800076</v>
      </c>
      <c r="Z95" s="11" t="n">
        <v>70</v>
      </c>
      <c r="AA95" s="10" t="n">
        <v>0.2087</v>
      </c>
      <c r="AB95" s="10" t="n">
        <v>0.6985</v>
      </c>
      <c r="AC95" s="10" t="n">
        <v>0.4395</v>
      </c>
      <c r="AD95" s="10" t="n">
        <v>0.4358</v>
      </c>
      <c r="AE95" s="10" t="n">
        <v>0.75</v>
      </c>
      <c r="AF95" s="10" t="n">
        <v>0.5096</v>
      </c>
      <c r="AG95" s="12" t="n">
        <v>10.24</v>
      </c>
      <c r="AH95" s="11" t="n">
        <v>2</v>
      </c>
      <c r="AI95" s="1" t="s">
        <v>87</v>
      </c>
      <c r="AJ95" s="12" t="n">
        <v>6.33</v>
      </c>
      <c r="AK95" s="12" t="n">
        <v>6.33</v>
      </c>
      <c r="AL95" s="12" t="n">
        <v>6.95</v>
      </c>
      <c r="AM95" s="13" t="n">
        <v>-17.2149224613416</v>
      </c>
      <c r="AN95" s="11" t="n">
        <v>91</v>
      </c>
      <c r="AO95" s="11" t="n">
        <v>12</v>
      </c>
      <c r="AP95" s="14" t="s">
        <v>88</v>
      </c>
      <c r="AQ95" s="13" t="n">
        <v>-12.0504457229391</v>
      </c>
      <c r="AR95" s="11" t="n">
        <v>93</v>
      </c>
      <c r="AS95" s="13" t="n">
        <v>0.944648754920323</v>
      </c>
      <c r="AT95" s="13" t="n">
        <v>-11.1057969680188</v>
      </c>
      <c r="AU95" s="11" t="n">
        <v>90</v>
      </c>
      <c r="AV95" s="10"/>
      <c r="AW95" s="14" t="s">
        <v>89</v>
      </c>
      <c r="AX95" s="14" t="s">
        <v>90</v>
      </c>
      <c r="AY95" s="10" t="n">
        <v>-6.82055930127769</v>
      </c>
      <c r="AZ95" s="10" t="n">
        <v>93.1794406987223</v>
      </c>
      <c r="BA95" s="11" t="n">
        <v>88</v>
      </c>
      <c r="BB95" s="14" t="s">
        <v>91</v>
      </c>
      <c r="BC95" s="10"/>
      <c r="BD95" s="11"/>
      <c r="BE95" s="14" t="s">
        <v>92</v>
      </c>
      <c r="BF95" s="10" t="n">
        <v>0.00833543369071638</v>
      </c>
      <c r="BG95" s="11" t="n">
        <v>17</v>
      </c>
      <c r="BH95" s="11" t="n">
        <v>12</v>
      </c>
      <c r="BI95" s="11" t="n">
        <v>12</v>
      </c>
      <c r="BJ95" s="11" t="n">
        <v>0</v>
      </c>
      <c r="BK95" s="10"/>
      <c r="BL95" s="14" t="s">
        <v>93</v>
      </c>
      <c r="BM95" s="15" t="n">
        <f aca="false">(F95-'Ensemble Parameters'!$B$20)/'Ensemble Parameters'!$C$20</f>
        <v>-0.556937320055428</v>
      </c>
      <c r="BN95" s="15" t="n">
        <f aca="false">(L95-'Ensemble Parameters'!$B$21)/'Ensemble Parameters'!$C$21</f>
        <v>-0.716934748384764</v>
      </c>
      <c r="BO95" s="15" t="n">
        <f aca="false">(S95-'Ensemble Parameters'!$B$22)/'Ensemble Parameters'!$C$22</f>
        <v>-0.400669596859448</v>
      </c>
      <c r="BP95" s="15" t="n">
        <f aca="false">(W95-'Ensemble Parameters'!$B$23)/'Ensemble Parameters'!$C$23</f>
        <v>-0.371187965168842</v>
      </c>
      <c r="BQ95" s="15" t="n">
        <f aca="false">AVERAGE(BO95:BP95)</f>
        <v>-0.385928781014145</v>
      </c>
      <c r="BR95" s="15" t="n">
        <f aca="false">(AQ95-'Ensemble Parameters'!$B$24)/'Ensemble Parameters'!$C$24</f>
        <v>-0.793910301880537</v>
      </c>
      <c r="BS95" s="15" t="n">
        <f aca="false">BM95*'Ensemble Parameters'!$B$5+BN95*'Ensemble Parameters'!$B$6+BQ95*'Ensemble Parameters'!$B$8+BR95*'Ensemble Parameters'!$B$7</f>
        <v>-0.613427787833718</v>
      </c>
      <c r="BT95" s="16" t="n">
        <f aca="false">'Ensemble Parameters'!$B$11+'Ensemble Parameters'!$B$12*BS95</f>
        <v>93.8657221216628</v>
      </c>
      <c r="BU95" s="17" t="n">
        <f aca="false">'Ensemble Parameters'!$B$13*BS95</f>
        <v>-8.58798902967206</v>
      </c>
      <c r="BV95" s="18" t="n">
        <f aca="false">RANK(BT95,$BT$5:$BT$125,0)</f>
        <v>81</v>
      </c>
      <c r="BW95" s="15" t="n">
        <f aca="false">STDEV(BM95,BN95,BQ95,BR95)</f>
        <v>0.180955427120307</v>
      </c>
      <c r="BX95" s="19" t="str">
        <f aca="false">IF(BW95&lt;'Ensemble Parameters'!$B$14,"High",IF(BW95&lt;'Ensemble Parameters'!$B$15,"Moderate","Low"))</f>
        <v>High</v>
      </c>
      <c r="BY95" s="19" t="str">
        <f aca="false">IF(BX95="Low","REVIEW — MODEL DISAGREEMENT","")</f>
        <v/>
      </c>
      <c r="BZ95" s="20" t="n">
        <v>4</v>
      </c>
    </row>
    <row r="96" customFormat="false" ht="15" hidden="false" customHeight="true" outlineLevel="0" collapsed="false">
      <c r="A96" s="7" t="s">
        <v>265</v>
      </c>
      <c r="B96" s="7" t="s">
        <v>274</v>
      </c>
      <c r="C96" s="7" t="s">
        <v>275</v>
      </c>
      <c r="D96" s="7" t="n">
        <v>80</v>
      </c>
      <c r="E96" s="7" t="s">
        <v>275</v>
      </c>
      <c r="F96" s="8" t="n">
        <v>25</v>
      </c>
      <c r="G96" s="9" t="n">
        <v>49</v>
      </c>
      <c r="H96" s="8" t="n">
        <v>8.33333333333333</v>
      </c>
      <c r="I96" s="8" t="n">
        <v>0</v>
      </c>
      <c r="J96" s="7" t="s">
        <v>276</v>
      </c>
      <c r="K96" s="7" t="s">
        <v>277</v>
      </c>
      <c r="L96" s="8" t="n">
        <v>-4.0589852421587</v>
      </c>
      <c r="M96" s="8" t="n">
        <v>95.9410147578413</v>
      </c>
      <c r="N96" s="9" t="n">
        <v>74</v>
      </c>
      <c r="O96" s="8" t="n">
        <v>0.4826</v>
      </c>
      <c r="P96" s="8" t="n">
        <v>-0.2784</v>
      </c>
      <c r="Q96" s="7" t="s">
        <v>245</v>
      </c>
      <c r="R96" s="1" t="s">
        <v>86</v>
      </c>
      <c r="S96" s="10" t="n">
        <v>0.40043</v>
      </c>
      <c r="T96" s="11" t="n">
        <v>79</v>
      </c>
      <c r="U96" s="10" t="n">
        <v>0.403423</v>
      </c>
      <c r="V96" s="11" t="n">
        <v>76</v>
      </c>
      <c r="W96" s="10" t="n">
        <v>0.411415</v>
      </c>
      <c r="X96" s="11" t="n">
        <v>81</v>
      </c>
      <c r="Y96" s="10" t="n">
        <v>0.413431446965</v>
      </c>
      <c r="Z96" s="11" t="n">
        <v>76</v>
      </c>
      <c r="AA96" s="10" t="n">
        <v>0.2926</v>
      </c>
      <c r="AB96" s="10" t="n">
        <v>0.4785</v>
      </c>
      <c r="AC96" s="10" t="n">
        <v>0.3689</v>
      </c>
      <c r="AD96" s="10" t="n">
        <v>0.4608</v>
      </c>
      <c r="AE96" s="10" t="n">
        <v>0.75</v>
      </c>
      <c r="AF96" s="10" t="n">
        <v>0.4341</v>
      </c>
      <c r="AG96" s="12" t="n">
        <v>1.82</v>
      </c>
      <c r="AH96" s="11" t="n">
        <v>-5</v>
      </c>
      <c r="AI96" s="1" t="s">
        <v>87</v>
      </c>
      <c r="AJ96" s="12" t="n">
        <v>5.76</v>
      </c>
      <c r="AK96" s="12" t="n">
        <v>5.63</v>
      </c>
      <c r="AL96" s="12" t="n">
        <v>5.65</v>
      </c>
      <c r="AM96" s="13" t="n">
        <v>-7.39743212057117</v>
      </c>
      <c r="AN96" s="11"/>
      <c r="AO96" s="11" t="n">
        <v>0</v>
      </c>
      <c r="AP96" s="14" t="s">
        <v>278</v>
      </c>
      <c r="AQ96" s="13" t="n">
        <v>-5.17820248439982</v>
      </c>
      <c r="AR96" s="11" t="n">
        <v>58</v>
      </c>
      <c r="AS96" s="13" t="n">
        <v>-0.758410257833415</v>
      </c>
      <c r="AT96" s="13" t="n">
        <v>-5.93661274223324</v>
      </c>
      <c r="AU96" s="11" t="n">
        <v>67</v>
      </c>
      <c r="AV96" s="10"/>
      <c r="AW96" s="14" t="s">
        <v>89</v>
      </c>
      <c r="AX96" s="14" t="s">
        <v>90</v>
      </c>
      <c r="AY96" s="10" t="n">
        <v>-4.11673069670415</v>
      </c>
      <c r="AZ96" s="10" t="n">
        <v>95.8832693032959</v>
      </c>
      <c r="BA96" s="11" t="n">
        <v>70</v>
      </c>
      <c r="BB96" s="14" t="s">
        <v>279</v>
      </c>
      <c r="BC96" s="10"/>
      <c r="BD96" s="11"/>
      <c r="BE96" s="14" t="s">
        <v>92</v>
      </c>
      <c r="BF96" s="10" t="n">
        <v>0.00831767316965703</v>
      </c>
      <c r="BG96" s="11" t="n">
        <v>30</v>
      </c>
      <c r="BH96" s="11" t="n">
        <v>12</v>
      </c>
      <c r="BI96" s="11" t="n">
        <v>12</v>
      </c>
      <c r="BJ96" s="11" t="n">
        <v>0</v>
      </c>
      <c r="BK96" s="10"/>
      <c r="BL96" s="14" t="s">
        <v>93</v>
      </c>
      <c r="BM96" s="15" t="n">
        <f aca="false">(F96-'Ensemble Parameters'!$B$20)/'Ensemble Parameters'!$C$20</f>
        <v>-0.0342768437653127</v>
      </c>
      <c r="BN96" s="15" t="n">
        <f aca="false">(L96-'Ensemble Parameters'!$B$21)/'Ensemble Parameters'!$C$21</f>
        <v>-0.425466645997104</v>
      </c>
      <c r="BO96" s="15" t="n">
        <f aca="false">(S96-'Ensemble Parameters'!$B$22)/'Ensemble Parameters'!$C$22</f>
        <v>-0.540428267228511</v>
      </c>
      <c r="BP96" s="15" t="n">
        <f aca="false">(W96-'Ensemble Parameters'!$B$23)/'Ensemble Parameters'!$C$23</f>
        <v>-0.604567792269961</v>
      </c>
      <c r="BQ96" s="15" t="n">
        <f aca="false">AVERAGE(BO96:BP96)</f>
        <v>-0.572498029749236</v>
      </c>
      <c r="BR96" s="15" t="n">
        <f aca="false">(AQ96-'Ensemble Parameters'!$B$24)/'Ensemble Parameters'!$C$24</f>
        <v>-0.337912763184265</v>
      </c>
      <c r="BS96" s="15" t="n">
        <f aca="false">BM96*'Ensemble Parameters'!$B$5+BN96*'Ensemble Parameters'!$B$6+BQ96*'Ensemble Parameters'!$B$8+BR96*'Ensemble Parameters'!$B$7</f>
        <v>-0.342538570673979</v>
      </c>
      <c r="BT96" s="16" t="n">
        <f aca="false">'Ensemble Parameters'!$B$11+'Ensemble Parameters'!$B$12*BS96</f>
        <v>96.5746142932602</v>
      </c>
      <c r="BU96" s="17" t="n">
        <f aca="false">'Ensemble Parameters'!$B$13*BS96</f>
        <v>-4.79553998943571</v>
      </c>
      <c r="BV96" s="18" t="n">
        <f aca="false">RANK(BT96,$BT$5:$BT$125,0)</f>
        <v>64</v>
      </c>
      <c r="BW96" s="15" t="n">
        <f aca="false">STDEV(BM96,BN96,BQ96,BR96)</f>
        <v>0.227160082222961</v>
      </c>
      <c r="BX96" s="19" t="str">
        <f aca="false">IF(BW96&lt;'Ensemble Parameters'!$B$14,"High",IF(BW96&lt;'Ensemble Parameters'!$B$15,"Moderate","Low"))</f>
        <v>High</v>
      </c>
      <c r="BY96" s="19" t="str">
        <f aca="false">IF(BX96="Low","REVIEW — MODEL DISAGREEMENT","")</f>
        <v/>
      </c>
      <c r="BZ96" s="20" t="n">
        <v>4</v>
      </c>
    </row>
    <row r="97" customFormat="false" ht="15" hidden="false" customHeight="true" outlineLevel="0" collapsed="false">
      <c r="A97" s="7" t="s">
        <v>265</v>
      </c>
      <c r="B97" s="7" t="s">
        <v>280</v>
      </c>
      <c r="C97" s="7" t="s">
        <v>281</v>
      </c>
      <c r="D97" s="7" t="n">
        <v>81</v>
      </c>
      <c r="E97" s="7" t="s">
        <v>281</v>
      </c>
      <c r="F97" s="8" t="n">
        <v>25</v>
      </c>
      <c r="G97" s="9" t="n">
        <v>49</v>
      </c>
      <c r="H97" s="8" t="n">
        <v>8.33333333333333</v>
      </c>
      <c r="I97" s="8" t="n">
        <v>0</v>
      </c>
      <c r="J97" s="7" t="s">
        <v>276</v>
      </c>
      <c r="K97" s="7" t="s">
        <v>277</v>
      </c>
      <c r="L97" s="8" t="n">
        <v>-4.07193762311108</v>
      </c>
      <c r="M97" s="8" t="n">
        <v>95.9280623768889</v>
      </c>
      <c r="N97" s="9" t="n">
        <v>75</v>
      </c>
      <c r="O97" s="8" t="n">
        <v>0.481790476190476</v>
      </c>
      <c r="P97" s="8" t="n">
        <v>-0.291352380952381</v>
      </c>
      <c r="Q97" s="7" t="s">
        <v>282</v>
      </c>
      <c r="R97" s="1" t="s">
        <v>86</v>
      </c>
      <c r="S97" s="10" t="n">
        <v>0.399984</v>
      </c>
      <c r="T97" s="11" t="n">
        <v>84</v>
      </c>
      <c r="U97" s="10" t="n">
        <v>0.387674</v>
      </c>
      <c r="V97" s="11" t="n">
        <v>93</v>
      </c>
      <c r="W97" s="10" t="n">
        <v>0.41756</v>
      </c>
      <c r="X97" s="11" t="n">
        <v>87</v>
      </c>
      <c r="Y97" s="10" t="n">
        <v>0.40368798266</v>
      </c>
      <c r="Z97" s="11" t="n">
        <v>93</v>
      </c>
      <c r="AA97" s="10" t="n">
        <v>0.2926</v>
      </c>
      <c r="AB97" s="10" t="n">
        <v>0.448</v>
      </c>
      <c r="AC97" s="10" t="n">
        <v>0.4346</v>
      </c>
      <c r="AD97" s="10" t="n">
        <v>0.419</v>
      </c>
      <c r="AE97" s="10" t="n">
        <v>0.75</v>
      </c>
      <c r="AF97" s="10" t="n">
        <v>0.2615</v>
      </c>
      <c r="AG97" s="12" t="n">
        <v>9.44</v>
      </c>
      <c r="AH97" s="11" t="n">
        <v>9</v>
      </c>
      <c r="AI97" s="1" t="s">
        <v>87</v>
      </c>
      <c r="AJ97" s="12" t="n">
        <v>5.81</v>
      </c>
      <c r="AK97" s="12" t="n">
        <v>5.77</v>
      </c>
      <c r="AL97" s="12" t="n">
        <v>5.63</v>
      </c>
      <c r="AM97" s="13" t="n">
        <v>-7.39743212057117</v>
      </c>
      <c r="AN97" s="11"/>
      <c r="AO97" s="11" t="n">
        <v>0</v>
      </c>
      <c r="AP97" s="14" t="s">
        <v>278</v>
      </c>
      <c r="AQ97" s="13" t="n">
        <v>-5.17820248439982</v>
      </c>
      <c r="AR97" s="11" t="n">
        <v>59</v>
      </c>
      <c r="AS97" s="13" t="n">
        <v>-0.613362535539156</v>
      </c>
      <c r="AT97" s="13" t="n">
        <v>-5.79156501993898</v>
      </c>
      <c r="AU97" s="11" t="n">
        <v>63</v>
      </c>
      <c r="AV97" s="10"/>
      <c r="AW97" s="14" t="s">
        <v>89</v>
      </c>
      <c r="AX97" s="14" t="s">
        <v>90</v>
      </c>
      <c r="AY97" s="10" t="n">
        <v>-6.03768307765653</v>
      </c>
      <c r="AZ97" s="10" t="n">
        <v>93.9623169223435</v>
      </c>
      <c r="BA97" s="11" t="n">
        <v>81</v>
      </c>
      <c r="BB97" s="14" t="s">
        <v>279</v>
      </c>
      <c r="BC97" s="10"/>
      <c r="BD97" s="11"/>
      <c r="BE97" s="14" t="s">
        <v>92</v>
      </c>
      <c r="BF97" s="10" t="n">
        <v>0.00832804087917123</v>
      </c>
      <c r="BG97" s="11" t="n">
        <v>22</v>
      </c>
      <c r="BH97" s="11" t="n">
        <v>12</v>
      </c>
      <c r="BI97" s="11" t="n">
        <v>12</v>
      </c>
      <c r="BJ97" s="11" t="n">
        <v>0</v>
      </c>
      <c r="BK97" s="10"/>
      <c r="BL97" s="14" t="s">
        <v>93</v>
      </c>
      <c r="BM97" s="15" t="n">
        <f aca="false">(F97-'Ensemble Parameters'!$B$20)/'Ensemble Parameters'!$C$20</f>
        <v>-0.0342768437653127</v>
      </c>
      <c r="BN97" s="15" t="n">
        <f aca="false">(L97-'Ensemble Parameters'!$B$21)/'Ensemble Parameters'!$C$21</f>
        <v>-0.426824326735691</v>
      </c>
      <c r="BO97" s="15" t="n">
        <f aca="false">(S97-'Ensemble Parameters'!$B$22)/'Ensemble Parameters'!$C$22</f>
        <v>-0.543538509580919</v>
      </c>
      <c r="BP97" s="15" t="n">
        <f aca="false">(W97-'Ensemble Parameters'!$B$23)/'Ensemble Parameters'!$C$23</f>
        <v>-0.556418756260682</v>
      </c>
      <c r="BQ97" s="15" t="n">
        <f aca="false">AVERAGE(BO97:BP97)</f>
        <v>-0.5499786329208</v>
      </c>
      <c r="BR97" s="15" t="n">
        <f aca="false">(AQ97-'Ensemble Parameters'!$B$24)/'Ensemble Parameters'!$C$24</f>
        <v>-0.337912763184265</v>
      </c>
      <c r="BS97" s="15" t="n">
        <f aca="false">BM97*'Ensemble Parameters'!$B$5+BN97*'Ensemble Parameters'!$B$6+BQ97*'Ensemble Parameters'!$B$8+BR97*'Ensemble Parameters'!$B$7</f>
        <v>-0.337248141651517</v>
      </c>
      <c r="BT97" s="16" t="n">
        <f aca="false">'Ensemble Parameters'!$B$11+'Ensemble Parameters'!$B$12*BS97</f>
        <v>96.6275185834848</v>
      </c>
      <c r="BU97" s="17" t="n">
        <f aca="false">'Ensemble Parameters'!$B$13*BS97</f>
        <v>-4.72147398312124</v>
      </c>
      <c r="BV97" s="18" t="n">
        <f aca="false">RANK(BT97,$BT$5:$BT$125,0)</f>
        <v>62</v>
      </c>
      <c r="BW97" s="15" t="n">
        <f aca="false">STDEV(BM97,BN97,BQ97,BR97)</f>
        <v>0.219901647647714</v>
      </c>
      <c r="BX97" s="19" t="str">
        <f aca="false">IF(BW97&lt;'Ensemble Parameters'!$B$14,"High",IF(BW97&lt;'Ensemble Parameters'!$B$15,"Moderate","Low"))</f>
        <v>High</v>
      </c>
      <c r="BY97" s="19" t="str">
        <f aca="false">IF(BX97="Low","REVIEW — MODEL DISAGREEMENT","")</f>
        <v/>
      </c>
      <c r="BZ97" s="20" t="n">
        <v>4</v>
      </c>
    </row>
    <row r="98" customFormat="false" ht="15" hidden="false" customHeight="true" outlineLevel="0" collapsed="false">
      <c r="A98" s="7" t="s">
        <v>265</v>
      </c>
      <c r="B98" s="7" t="s">
        <v>283</v>
      </c>
      <c r="C98" s="7" t="s">
        <v>284</v>
      </c>
      <c r="D98" s="7" t="n">
        <v>82</v>
      </c>
      <c r="E98" s="7" t="s">
        <v>284</v>
      </c>
      <c r="F98" s="8" t="n">
        <v>23.019157962</v>
      </c>
      <c r="G98" s="9" t="n">
        <v>70</v>
      </c>
      <c r="H98" s="8" t="n">
        <v>4.15437936267761</v>
      </c>
      <c r="I98" s="8" t="n">
        <v>10.5560198739672</v>
      </c>
      <c r="J98" s="7" t="s">
        <v>83</v>
      </c>
      <c r="K98" s="7" t="s">
        <v>84</v>
      </c>
      <c r="L98" s="8" t="n">
        <v>-9.56637768272096</v>
      </c>
      <c r="M98" s="8" t="n">
        <v>90.4336223172791</v>
      </c>
      <c r="N98" s="9" t="n">
        <v>106</v>
      </c>
      <c r="O98" s="8" t="n">
        <v>0.400419047619048</v>
      </c>
      <c r="P98" s="8" t="n">
        <v>-1.59329523809524</v>
      </c>
      <c r="Q98" s="7" t="s">
        <v>85</v>
      </c>
      <c r="R98" s="1" t="s">
        <v>86</v>
      </c>
      <c r="S98" s="10" t="n">
        <v>0.31587</v>
      </c>
      <c r="T98" s="11" t="n">
        <v>108</v>
      </c>
      <c r="U98" s="10" t="n">
        <v>0.32717</v>
      </c>
      <c r="V98" s="11" t="n">
        <v>111</v>
      </c>
      <c r="W98" s="10" t="n">
        <v>0.344825</v>
      </c>
      <c r="X98" s="11" t="n">
        <v>105</v>
      </c>
      <c r="Y98" s="10" t="n">
        <v>0.353551677575</v>
      </c>
      <c r="Z98" s="11" t="n">
        <v>111</v>
      </c>
      <c r="AA98" s="10" t="n">
        <v>0.2049</v>
      </c>
      <c r="AB98" s="10" t="n">
        <v>0.2348</v>
      </c>
      <c r="AC98" s="10" t="n">
        <v>0.4414</v>
      </c>
      <c r="AD98" s="10" t="n">
        <v>0.408</v>
      </c>
      <c r="AE98" s="10" t="n">
        <v>0.75</v>
      </c>
      <c r="AF98" s="10" t="n">
        <v>0.443</v>
      </c>
      <c r="AG98" s="12" t="n">
        <v>10.56</v>
      </c>
      <c r="AH98" s="11" t="n">
        <v>3</v>
      </c>
      <c r="AI98" s="1" t="s">
        <v>87</v>
      </c>
      <c r="AJ98" s="12" t="n">
        <v>5.39</v>
      </c>
      <c r="AK98" s="12" t="n">
        <v>5.54</v>
      </c>
      <c r="AL98" s="12" t="n">
        <v>5.27</v>
      </c>
      <c r="AM98" s="13" t="n">
        <v>-17.9746778377723</v>
      </c>
      <c r="AN98" s="11" t="n">
        <v>95</v>
      </c>
      <c r="AO98" s="11" t="n">
        <v>12</v>
      </c>
      <c r="AP98" s="14" t="s">
        <v>88</v>
      </c>
      <c r="AQ98" s="13" t="n">
        <v>-12.5822744864406</v>
      </c>
      <c r="AR98" s="11" t="n">
        <v>97</v>
      </c>
      <c r="AS98" s="13" t="n">
        <v>-1.28491226837386</v>
      </c>
      <c r="AT98" s="13" t="n">
        <v>-13.8671867548145</v>
      </c>
      <c r="AU98" s="11" t="n">
        <v>108</v>
      </c>
      <c r="AV98" s="10"/>
      <c r="AW98" s="14" t="s">
        <v>89</v>
      </c>
      <c r="AX98" s="14" t="s">
        <v>90</v>
      </c>
      <c r="AY98" s="10" t="n">
        <v>-10.0801231372664</v>
      </c>
      <c r="AZ98" s="10" t="n">
        <v>89.9198768627336</v>
      </c>
      <c r="BA98" s="11" t="n">
        <v>108</v>
      </c>
      <c r="BB98" s="14" t="s">
        <v>91</v>
      </c>
      <c r="BC98" s="10"/>
      <c r="BD98" s="11"/>
      <c r="BE98" s="14" t="s">
        <v>92</v>
      </c>
      <c r="BF98" s="10" t="n">
        <v>0.00717895083588048</v>
      </c>
      <c r="BG98" s="11" t="n">
        <v>119</v>
      </c>
      <c r="BH98" s="11" t="n">
        <v>12</v>
      </c>
      <c r="BI98" s="11" t="n">
        <v>10</v>
      </c>
      <c r="BJ98" s="11" t="n">
        <v>2</v>
      </c>
      <c r="BK98" s="10"/>
      <c r="BL98" s="14" t="s">
        <v>93</v>
      </c>
      <c r="BM98" s="15" t="n">
        <f aca="false">(F98-'Ensemble Parameters'!$B$20)/'Ensemble Parameters'!$C$20</f>
        <v>-0.488672578374709</v>
      </c>
      <c r="BN98" s="15" t="n">
        <f aca="false">(L98-'Ensemble Parameters'!$B$21)/'Ensemble Parameters'!$C$21</f>
        <v>-1.00275669513008</v>
      </c>
      <c r="BO98" s="15" t="n">
        <f aca="false">(S98-'Ensemble Parameters'!$B$22)/'Ensemble Parameters'!$C$22</f>
        <v>-1.13011905942491</v>
      </c>
      <c r="BP98" s="15" t="n">
        <f aca="false">(W98-'Ensemble Parameters'!$B$23)/'Ensemble Parameters'!$C$23</f>
        <v>-1.12633252910607</v>
      </c>
      <c r="BQ98" s="15" t="n">
        <f aca="false">AVERAGE(BO98:BP98)</f>
        <v>-1.12822579426549</v>
      </c>
      <c r="BR98" s="15" t="n">
        <f aca="false">(AQ98-'Ensemble Parameters'!$B$24)/'Ensemble Parameters'!$C$24</f>
        <v>-0.829199013113073</v>
      </c>
      <c r="BS98" s="15" t="n">
        <f aca="false">BM98*'Ensemble Parameters'!$B$5+BN98*'Ensemble Parameters'!$B$6+BQ98*'Ensemble Parameters'!$B$8+BR98*'Ensemble Parameters'!$B$7</f>
        <v>-0.862213520220839</v>
      </c>
      <c r="BT98" s="16" t="n">
        <f aca="false">'Ensemble Parameters'!$B$11+'Ensemble Parameters'!$B$12*BS98</f>
        <v>91.3778647977916</v>
      </c>
      <c r="BU98" s="17" t="n">
        <f aca="false">'Ensemble Parameters'!$B$13*BS98</f>
        <v>-12.0709892830917</v>
      </c>
      <c r="BV98" s="18" t="n">
        <f aca="false">RANK(BT98,$BT$5:$BT$125,0)</f>
        <v>103</v>
      </c>
      <c r="BW98" s="15" t="n">
        <f aca="false">STDEV(BM98,BN98,BQ98,BR98)</f>
        <v>0.277571436373197</v>
      </c>
      <c r="BX98" s="19" t="str">
        <f aca="false">IF(BW98&lt;'Ensemble Parameters'!$B$14,"High",IF(BW98&lt;'Ensemble Parameters'!$B$15,"Moderate","Low"))</f>
        <v>High</v>
      </c>
      <c r="BY98" s="19" t="str">
        <f aca="false">IF(BX98="Low","REVIEW — MODEL DISAGREEMENT","")</f>
        <v/>
      </c>
      <c r="BZ98" s="20" t="n">
        <v>4</v>
      </c>
    </row>
    <row r="99" customFormat="false" ht="15" hidden="false" customHeight="true" outlineLevel="0" collapsed="false">
      <c r="A99" s="7" t="s">
        <v>265</v>
      </c>
      <c r="B99" s="7" t="s">
        <v>285</v>
      </c>
      <c r="C99" s="7" t="s">
        <v>285</v>
      </c>
      <c r="D99" s="7" t="n">
        <v>83</v>
      </c>
      <c r="E99" s="7" t="s">
        <v>285</v>
      </c>
      <c r="F99" s="8" t="n">
        <v>21.977495725</v>
      </c>
      <c r="G99" s="9" t="n">
        <v>88</v>
      </c>
      <c r="H99" s="8" t="n">
        <v>4.1284543778411</v>
      </c>
      <c r="I99" s="8" t="n">
        <v>9.5921325914767</v>
      </c>
      <c r="J99" s="7" t="s">
        <v>83</v>
      </c>
      <c r="K99" s="7" t="s">
        <v>84</v>
      </c>
      <c r="L99" s="8" t="n">
        <v>-10.0595747365591</v>
      </c>
      <c r="M99" s="8" t="n">
        <v>89.9404252634409</v>
      </c>
      <c r="N99" s="9" t="n">
        <v>110</v>
      </c>
      <c r="O99" s="8" t="n">
        <v>0.496561904761905</v>
      </c>
      <c r="P99" s="8" t="n">
        <v>-0.055009523809523</v>
      </c>
      <c r="Q99" s="7" t="s">
        <v>85</v>
      </c>
      <c r="R99" s="1" t="s">
        <v>86</v>
      </c>
      <c r="S99" s="10" t="n">
        <v>0.329835</v>
      </c>
      <c r="T99" s="11" t="n">
        <v>101</v>
      </c>
      <c r="U99" s="10" t="n">
        <v>0.352792</v>
      </c>
      <c r="V99" s="11" t="n">
        <v>99</v>
      </c>
      <c r="W99" s="10" t="n">
        <v>0.363285</v>
      </c>
      <c r="X99" s="11" t="n">
        <v>95</v>
      </c>
      <c r="Y99" s="10" t="n">
        <v>0.383268580535</v>
      </c>
      <c r="Z99" s="11" t="n">
        <v>99</v>
      </c>
      <c r="AA99" s="10" t="n">
        <v>0.111</v>
      </c>
      <c r="AB99" s="10" t="n">
        <v>0.3773</v>
      </c>
      <c r="AC99" s="10" t="n">
        <v>0.4499</v>
      </c>
      <c r="AD99" s="10" t="n">
        <v>0.615</v>
      </c>
      <c r="AE99" s="10" t="n">
        <v>0.75</v>
      </c>
      <c r="AF99" s="10" t="n">
        <v>0.5881</v>
      </c>
      <c r="AG99" s="12" t="n">
        <v>12.06</v>
      </c>
      <c r="AH99" s="11" t="n">
        <v>-2</v>
      </c>
      <c r="AI99" s="1" t="s">
        <v>87</v>
      </c>
      <c r="AJ99" s="12" t="n">
        <v>4.75</v>
      </c>
      <c r="AK99" s="12" t="n">
        <v>5.03</v>
      </c>
      <c r="AL99" s="12" t="n">
        <v>5.32</v>
      </c>
      <c r="AM99" s="13" t="n">
        <v>-20.1120359350132</v>
      </c>
      <c r="AN99" s="11" t="n">
        <v>107</v>
      </c>
      <c r="AO99" s="11" t="n">
        <v>12</v>
      </c>
      <c r="AP99" s="14" t="s">
        <v>88</v>
      </c>
      <c r="AQ99" s="13" t="n">
        <v>-14.0784251545092</v>
      </c>
      <c r="AR99" s="11" t="n">
        <v>109</v>
      </c>
      <c r="AS99" s="13" t="n">
        <v>0.270019844064285</v>
      </c>
      <c r="AT99" s="13" t="n">
        <v>-13.8084053104449</v>
      </c>
      <c r="AU99" s="11" t="n">
        <v>107</v>
      </c>
      <c r="AV99" s="10"/>
      <c r="AW99" s="14" t="s">
        <v>89</v>
      </c>
      <c r="AX99" s="14" t="s">
        <v>90</v>
      </c>
      <c r="AY99" s="10" t="n">
        <v>-9.41252019110458</v>
      </c>
      <c r="AZ99" s="10" t="n">
        <v>90.5874798088954</v>
      </c>
      <c r="BA99" s="11" t="n">
        <v>101</v>
      </c>
      <c r="BB99" s="14" t="s">
        <v>91</v>
      </c>
      <c r="BC99" s="10"/>
      <c r="BD99" s="11"/>
      <c r="BE99" s="14" t="s">
        <v>92</v>
      </c>
      <c r="BF99" s="10" t="n">
        <v>0.00833559165590777</v>
      </c>
      <c r="BG99" s="11" t="n">
        <v>16</v>
      </c>
      <c r="BH99" s="11" t="n">
        <v>12</v>
      </c>
      <c r="BI99" s="11" t="n">
        <v>12</v>
      </c>
      <c r="BJ99" s="11" t="n">
        <v>0</v>
      </c>
      <c r="BK99" s="10"/>
      <c r="BL99" s="14" t="s">
        <v>93</v>
      </c>
      <c r="BM99" s="15" t="n">
        <f aca="false">(F99-'Ensemble Parameters'!$B$20)/'Ensemble Parameters'!$C$20</f>
        <v>-0.727624937177831</v>
      </c>
      <c r="BN99" s="15" t="n">
        <f aca="false">(L99-'Ensemble Parameters'!$B$21)/'Ensemble Parameters'!$C$21</f>
        <v>-1.05445407361096</v>
      </c>
      <c r="BO99" s="15" t="n">
        <f aca="false">(S99-'Ensemble Parameters'!$B$22)/'Ensemble Parameters'!$C$22</f>
        <v>-1.03273221087923</v>
      </c>
      <c r="BP99" s="15" t="n">
        <f aca="false">(W99-'Ensemble Parameters'!$B$23)/'Ensemble Parameters'!$C$23</f>
        <v>-0.981689534031816</v>
      </c>
      <c r="BQ99" s="15" t="n">
        <f aca="false">AVERAGE(BO99:BP99)</f>
        <v>-1.00721087245552</v>
      </c>
      <c r="BR99" s="15" t="n">
        <f aca="false">(AQ99-'Ensemble Parameters'!$B$24)/'Ensemble Parameters'!$C$24</f>
        <v>-0.92847387846302</v>
      </c>
      <c r="BS99" s="15" t="n">
        <f aca="false">BM99*'Ensemble Parameters'!$B$5+BN99*'Ensemble Parameters'!$B$6+BQ99*'Ensemble Parameters'!$B$8+BR99*'Ensemble Parameters'!$B$7</f>
        <v>-0.929440940426833</v>
      </c>
      <c r="BT99" s="16" t="n">
        <f aca="false">'Ensemble Parameters'!$B$11+'Ensemble Parameters'!$B$12*BS99</f>
        <v>90.7055905957317</v>
      </c>
      <c r="BU99" s="17" t="n">
        <f aca="false">'Ensemble Parameters'!$B$13*BS99</f>
        <v>-13.0121731659757</v>
      </c>
      <c r="BV99" s="18" t="n">
        <f aca="false">RANK(BT99,$BT$5:$BT$125,0)</f>
        <v>108</v>
      </c>
      <c r="BW99" s="15" t="n">
        <f aca="false">STDEV(BM99,BN99,BQ99,BR99)</f>
        <v>0.144230232813722</v>
      </c>
      <c r="BX99" s="19" t="str">
        <f aca="false">IF(BW99&lt;'Ensemble Parameters'!$B$14,"High",IF(BW99&lt;'Ensemble Parameters'!$B$15,"Moderate","Low"))</f>
        <v>High</v>
      </c>
      <c r="BY99" s="19" t="str">
        <f aca="false">IF(BX99="Low","REVIEW — MODEL DISAGREEMENT","")</f>
        <v/>
      </c>
      <c r="BZ99" s="20" t="n">
        <v>4</v>
      </c>
    </row>
    <row r="100" customFormat="false" ht="15" hidden="false" customHeight="true" outlineLevel="0" collapsed="false">
      <c r="A100" s="7" t="s">
        <v>265</v>
      </c>
      <c r="B100" s="7" t="s">
        <v>286</v>
      </c>
      <c r="C100" s="7" t="s">
        <v>286</v>
      </c>
      <c r="D100" s="7" t="n">
        <v>84</v>
      </c>
      <c r="E100" s="7" t="s">
        <v>286</v>
      </c>
      <c r="F100" s="8" t="n">
        <v>19.953088424</v>
      </c>
      <c r="G100" s="9" t="n">
        <v>117</v>
      </c>
      <c r="H100" s="8" t="n">
        <v>4.16199614779115</v>
      </c>
      <c r="I100" s="8" t="n">
        <v>7.46709998062656</v>
      </c>
      <c r="J100" s="7" t="s">
        <v>83</v>
      </c>
      <c r="K100" s="7" t="s">
        <v>84</v>
      </c>
      <c r="L100" s="8" t="n">
        <v>-10.6324031681219</v>
      </c>
      <c r="M100" s="8" t="n">
        <v>89.3675968318781</v>
      </c>
      <c r="N100" s="9" t="n">
        <v>115</v>
      </c>
      <c r="O100" s="8" t="n">
        <v>0.488704761904762</v>
      </c>
      <c r="P100" s="8" t="n">
        <v>-0.180723809523808</v>
      </c>
      <c r="Q100" s="7" t="s">
        <v>85</v>
      </c>
      <c r="R100" s="1" t="s">
        <v>86</v>
      </c>
      <c r="S100" s="10" t="n">
        <v>0.300377</v>
      </c>
      <c r="T100" s="11" t="n">
        <v>117</v>
      </c>
      <c r="U100" s="10" t="n">
        <v>0.295677</v>
      </c>
      <c r="V100" s="11" t="n">
        <v>121</v>
      </c>
      <c r="W100" s="10" t="n">
        <v>0.33798</v>
      </c>
      <c r="X100" s="11" t="n">
        <v>114</v>
      </c>
      <c r="Y100" s="10" t="n">
        <v>0.32993732328</v>
      </c>
      <c r="Z100" s="11" t="n">
        <v>121</v>
      </c>
      <c r="AA100" s="10" t="n">
        <v>0.0532</v>
      </c>
      <c r="AB100" s="10" t="n">
        <v>0.3766</v>
      </c>
      <c r="AC100" s="10" t="n">
        <v>0.4404</v>
      </c>
      <c r="AD100" s="10" t="n">
        <v>0.5894</v>
      </c>
      <c r="AE100" s="10" t="n">
        <v>0.75</v>
      </c>
      <c r="AF100" s="10" t="n">
        <v>0.2475</v>
      </c>
      <c r="AG100" s="12" t="n">
        <v>10.39</v>
      </c>
      <c r="AH100" s="11" t="n">
        <v>4</v>
      </c>
      <c r="AI100" s="1" t="s">
        <v>87</v>
      </c>
      <c r="AJ100" s="12" t="n">
        <v>3.88</v>
      </c>
      <c r="AK100" s="12" t="n">
        <v>4.16</v>
      </c>
      <c r="AL100" s="12" t="n">
        <v>4.49</v>
      </c>
      <c r="AM100" s="13" t="n">
        <v>-22.277126577244</v>
      </c>
      <c r="AN100" s="11" t="n">
        <v>116</v>
      </c>
      <c r="AO100" s="11" t="n">
        <v>12</v>
      </c>
      <c r="AP100" s="14" t="s">
        <v>88</v>
      </c>
      <c r="AQ100" s="13" t="n">
        <v>-15.5939886040708</v>
      </c>
      <c r="AR100" s="11" t="n">
        <v>118</v>
      </c>
      <c r="AS100" s="13" t="n">
        <v>0.361637038375649</v>
      </c>
      <c r="AT100" s="13" t="n">
        <v>-15.2323515656952</v>
      </c>
      <c r="AU100" s="11" t="n">
        <v>114</v>
      </c>
      <c r="AV100" s="10"/>
      <c r="AW100" s="14" t="s">
        <v>89</v>
      </c>
      <c r="AX100" s="14" t="s">
        <v>90</v>
      </c>
      <c r="AY100" s="10" t="n">
        <v>-12.7101486226673</v>
      </c>
      <c r="AZ100" s="10" t="n">
        <v>87.2898513773327</v>
      </c>
      <c r="BA100" s="11" t="n">
        <v>117</v>
      </c>
      <c r="BB100" s="14" t="s">
        <v>91</v>
      </c>
      <c r="BC100" s="10"/>
      <c r="BD100" s="11"/>
      <c r="BE100" s="14" t="s">
        <v>92</v>
      </c>
      <c r="BF100" s="10" t="n">
        <v>0.00836260099447352</v>
      </c>
      <c r="BG100" s="11" t="n">
        <v>9</v>
      </c>
      <c r="BH100" s="11" t="n">
        <v>12</v>
      </c>
      <c r="BI100" s="11" t="n">
        <v>12</v>
      </c>
      <c r="BJ100" s="11" t="n">
        <v>0</v>
      </c>
      <c r="BK100" s="10"/>
      <c r="BL100" s="14" t="s">
        <v>93</v>
      </c>
      <c r="BM100" s="15" t="n">
        <f aca="false">(F100-'Ensemble Parameters'!$B$20)/'Ensemble Parameters'!$C$20</f>
        <v>-1.19201433574658</v>
      </c>
      <c r="BN100" s="15" t="n">
        <f aca="false">(L100-'Ensemble Parameters'!$B$21)/'Ensemble Parameters'!$C$21</f>
        <v>-1.11449848790875</v>
      </c>
      <c r="BO100" s="15" t="n">
        <f aca="false">(S100-'Ensemble Parameters'!$B$22)/'Ensemble Parameters'!$C$22</f>
        <v>-1.23816162616449</v>
      </c>
      <c r="BP100" s="15" t="n">
        <f aca="false">(W100-'Ensemble Parameters'!$B$23)/'Ensemble Parameters'!$C$23</f>
        <v>-1.17996640241502</v>
      </c>
      <c r="BQ100" s="15" t="n">
        <f aca="false">AVERAGE(BO100:BP100)</f>
        <v>-1.20906401428975</v>
      </c>
      <c r="BR100" s="15" t="n">
        <f aca="false">(AQ100-'Ensemble Parameters'!$B$24)/'Ensemble Parameters'!$C$24</f>
        <v>-1.02903685022492</v>
      </c>
      <c r="BS100" s="15" t="n">
        <f aca="false">BM100*'Ensemble Parameters'!$B$5+BN100*'Ensemble Parameters'!$B$6+BQ100*'Ensemble Parameters'!$B$8+BR100*'Ensemble Parameters'!$B$7</f>
        <v>-1.1361534220425</v>
      </c>
      <c r="BT100" s="16" t="n">
        <f aca="false">'Ensemble Parameters'!$B$11+'Ensemble Parameters'!$B$12*BS100</f>
        <v>88.638465779575</v>
      </c>
      <c r="BU100" s="17" t="n">
        <f aca="false">'Ensemble Parameters'!$B$13*BS100</f>
        <v>-15.906147908595</v>
      </c>
      <c r="BV100" s="18" t="n">
        <f aca="false">RANK(BT100,$BT$5:$BT$125,0)</f>
        <v>118</v>
      </c>
      <c r="BW100" s="15" t="n">
        <f aca="false">STDEV(BM100,BN100,BQ100,BR100)</f>
        <v>0.0824202488712347</v>
      </c>
      <c r="BX100" s="19" t="str">
        <f aca="false">IF(BW100&lt;'Ensemble Parameters'!$B$14,"High",IF(BW100&lt;'Ensemble Parameters'!$B$15,"Moderate","Low"))</f>
        <v>High</v>
      </c>
      <c r="BY100" s="19" t="str">
        <f aca="false">IF(BX100="Low","REVIEW — MODEL DISAGREEMENT","")</f>
        <v/>
      </c>
      <c r="BZ100" s="20" t="n">
        <v>4</v>
      </c>
    </row>
    <row r="101" customFormat="false" ht="15" hidden="false" customHeight="true" outlineLevel="0" collapsed="false">
      <c r="A101" s="7" t="s">
        <v>265</v>
      </c>
      <c r="B101" s="7" t="s">
        <v>287</v>
      </c>
      <c r="C101" s="7" t="s">
        <v>288</v>
      </c>
      <c r="D101" s="7" t="n">
        <v>85</v>
      </c>
      <c r="E101" s="7" t="s">
        <v>288</v>
      </c>
      <c r="F101" s="8" t="n">
        <v>23.750563553</v>
      </c>
      <c r="G101" s="9" t="n">
        <v>65</v>
      </c>
      <c r="H101" s="8" t="n">
        <v>3.84744003537454</v>
      </c>
      <c r="I101" s="8" t="n">
        <v>12.2082434468764</v>
      </c>
      <c r="J101" s="7" t="s">
        <v>83</v>
      </c>
      <c r="K101" s="7" t="s">
        <v>84</v>
      </c>
      <c r="L101" s="8" t="n">
        <v>-9.39809635210577</v>
      </c>
      <c r="M101" s="8" t="n">
        <v>90.6019036478942</v>
      </c>
      <c r="N101" s="9" t="n">
        <v>105</v>
      </c>
      <c r="O101" s="8" t="n">
        <v>0.470114285714286</v>
      </c>
      <c r="P101" s="8" t="n">
        <v>-0.478171428571429</v>
      </c>
      <c r="Q101" s="7" t="s">
        <v>85</v>
      </c>
      <c r="R101" s="1" t="s">
        <v>86</v>
      </c>
      <c r="S101" s="10" t="n">
        <v>0.354004</v>
      </c>
      <c r="T101" s="11" t="n">
        <v>95</v>
      </c>
      <c r="U101" s="10" t="n">
        <v>0.361612</v>
      </c>
      <c r="V101" s="11" t="n">
        <v>103</v>
      </c>
      <c r="W101" s="10" t="n">
        <v>0.37926</v>
      </c>
      <c r="X101" s="11" t="n">
        <v>93</v>
      </c>
      <c r="Y101" s="10" t="n">
        <v>0.38462356226</v>
      </c>
      <c r="Z101" s="11" t="n">
        <v>103</v>
      </c>
      <c r="AA101" s="10" t="n">
        <v>0.2016</v>
      </c>
      <c r="AB101" s="10" t="n">
        <v>0.3968</v>
      </c>
      <c r="AC101" s="10" t="n">
        <v>0.4314</v>
      </c>
      <c r="AD101" s="10" t="n">
        <v>0.4649</v>
      </c>
      <c r="AE101" s="10" t="n">
        <v>0.75</v>
      </c>
      <c r="AF101" s="10" t="n">
        <v>0.4396</v>
      </c>
      <c r="AG101" s="12" t="n">
        <v>8.93</v>
      </c>
      <c r="AH101" s="11" t="n">
        <v>8</v>
      </c>
      <c r="AI101" s="1" t="s">
        <v>87</v>
      </c>
      <c r="AJ101" s="12" t="n">
        <v>5.93</v>
      </c>
      <c r="AK101" s="12" t="n">
        <v>6</v>
      </c>
      <c r="AL101" s="12" t="n">
        <v>6.19</v>
      </c>
      <c r="AM101" s="13" t="n">
        <v>-18.6257776680556</v>
      </c>
      <c r="AN101" s="11" t="n">
        <v>99</v>
      </c>
      <c r="AO101" s="11" t="n">
        <v>13</v>
      </c>
      <c r="AP101" s="14" t="s">
        <v>88</v>
      </c>
      <c r="AQ101" s="13" t="n">
        <v>-13.0380443676389</v>
      </c>
      <c r="AR101" s="11" t="n">
        <v>101</v>
      </c>
      <c r="AS101" s="13" t="n">
        <v>-0.432769260637159</v>
      </c>
      <c r="AT101" s="13" t="n">
        <v>-13.4708136282761</v>
      </c>
      <c r="AU101" s="11" t="n">
        <v>104</v>
      </c>
      <c r="AV101" s="10"/>
      <c r="AW101" s="14" t="s">
        <v>89</v>
      </c>
      <c r="AX101" s="14" t="s">
        <v>90</v>
      </c>
      <c r="AY101" s="10" t="n">
        <v>-9.93904180665122</v>
      </c>
      <c r="AZ101" s="10" t="n">
        <v>90.0609581933488</v>
      </c>
      <c r="BA101" s="11" t="n">
        <v>106</v>
      </c>
      <c r="BB101" s="14" t="s">
        <v>91</v>
      </c>
      <c r="BC101" s="10"/>
      <c r="BD101" s="11"/>
      <c r="BE101" s="14" t="s">
        <v>92</v>
      </c>
      <c r="BF101" s="10" t="n">
        <v>0.00836228705983911</v>
      </c>
      <c r="BG101" s="11" t="n">
        <v>10</v>
      </c>
      <c r="BH101" s="11" t="n">
        <v>12</v>
      </c>
      <c r="BI101" s="11" t="n">
        <v>12</v>
      </c>
      <c r="BJ101" s="11" t="n">
        <v>0</v>
      </c>
      <c r="BK101" s="10"/>
      <c r="BL101" s="14" t="s">
        <v>93</v>
      </c>
      <c r="BM101" s="15" t="n">
        <f aca="false">(F101-'Ensemble Parameters'!$B$20)/'Ensemble Parameters'!$C$20</f>
        <v>-0.320891617326737</v>
      </c>
      <c r="BN101" s="15" t="n">
        <f aca="false">(L101-'Ensemble Parameters'!$B$21)/'Ensemble Parameters'!$C$21</f>
        <v>-0.985117287975526</v>
      </c>
      <c r="BO101" s="15" t="n">
        <f aca="false">(S101-'Ensemble Parameters'!$B$22)/'Ensemble Parameters'!$C$22</f>
        <v>-0.86418636465649</v>
      </c>
      <c r="BP101" s="15" t="n">
        <f aca="false">(W101-'Ensemble Parameters'!$B$23)/'Ensemble Parameters'!$C$23</f>
        <v>-0.856517711371404</v>
      </c>
      <c r="BQ101" s="15" t="n">
        <f aca="false">AVERAGE(BO101:BP101)</f>
        <v>-0.860352038013947</v>
      </c>
      <c r="BR101" s="15" t="n">
        <f aca="false">(AQ101-'Ensemble Parameters'!$B$24)/'Ensemble Parameters'!$C$24</f>
        <v>-0.859440949672131</v>
      </c>
      <c r="BS101" s="15" t="n">
        <f aca="false">BM101*'Ensemble Parameters'!$B$5+BN101*'Ensemble Parameters'!$B$6+BQ101*'Ensemble Parameters'!$B$8+BR101*'Ensemble Parameters'!$B$7</f>
        <v>-0.756450473247085</v>
      </c>
      <c r="BT101" s="16" t="n">
        <f aca="false">'Ensemble Parameters'!$B$11+'Ensemble Parameters'!$B$12*BS101</f>
        <v>92.4354952675292</v>
      </c>
      <c r="BU101" s="17" t="n">
        <f aca="false">'Ensemble Parameters'!$B$13*BS101</f>
        <v>-10.5903066254592</v>
      </c>
      <c r="BV101" s="18" t="n">
        <f aca="false">RANK(BT101,$BT$5:$BT$125,0)</f>
        <v>94</v>
      </c>
      <c r="BW101" s="15" t="n">
        <f aca="false">STDEV(BM101,BN101,BQ101,BR101)</f>
        <v>0.296312111645786</v>
      </c>
      <c r="BX101" s="19" t="str">
        <f aca="false">IF(BW101&lt;'Ensemble Parameters'!$B$14,"High",IF(BW101&lt;'Ensemble Parameters'!$B$15,"Moderate","Low"))</f>
        <v>High</v>
      </c>
      <c r="BY101" s="19" t="str">
        <f aca="false">IF(BX101="Low","REVIEW — MODEL DISAGREEMENT","")</f>
        <v/>
      </c>
      <c r="BZ101" s="20" t="n">
        <v>4</v>
      </c>
    </row>
    <row r="102" customFormat="false" ht="15" hidden="false" customHeight="true" outlineLevel="0" collapsed="false">
      <c r="A102" s="7" t="s">
        <v>289</v>
      </c>
      <c r="B102" s="7" t="s">
        <v>290</v>
      </c>
      <c r="C102" s="7" t="s">
        <v>291</v>
      </c>
      <c r="D102" s="7" t="n">
        <v>68</v>
      </c>
      <c r="E102" s="7" t="s">
        <v>291</v>
      </c>
      <c r="F102" s="8" t="n">
        <v>24.899017048</v>
      </c>
      <c r="G102" s="9" t="n">
        <v>51</v>
      </c>
      <c r="H102" s="8" t="n">
        <v>3.93244926990273</v>
      </c>
      <c r="I102" s="8" t="n">
        <v>13.1016692382918</v>
      </c>
      <c r="J102" s="7" t="s">
        <v>83</v>
      </c>
      <c r="K102" s="7" t="s">
        <v>84</v>
      </c>
      <c r="L102" s="8" t="n">
        <v>-2.86116806625246</v>
      </c>
      <c r="M102" s="8" t="n">
        <v>97.1388319337475</v>
      </c>
      <c r="N102" s="9" t="n">
        <v>61</v>
      </c>
      <c r="O102" s="8" t="n">
        <v>0.566409523809524</v>
      </c>
      <c r="P102" s="8" t="n">
        <v>1.06255238095238</v>
      </c>
      <c r="Q102" s="7" t="s">
        <v>85</v>
      </c>
      <c r="R102" s="1" t="s">
        <v>86</v>
      </c>
      <c r="S102" s="10" t="n">
        <v>0.481513</v>
      </c>
      <c r="T102" s="11" t="n">
        <v>42</v>
      </c>
      <c r="U102" s="10" t="n">
        <v>0.498321</v>
      </c>
      <c r="V102" s="11" t="n">
        <v>42</v>
      </c>
      <c r="W102" s="10" t="n">
        <v>0.48974</v>
      </c>
      <c r="X102" s="11" t="n">
        <v>43</v>
      </c>
      <c r="Y102" s="10" t="n">
        <v>0.50581646454</v>
      </c>
      <c r="Z102" s="11" t="n">
        <v>42</v>
      </c>
      <c r="AA102" s="10" t="n">
        <v>0.3701</v>
      </c>
      <c r="AB102" s="10" t="n">
        <v>0.6404</v>
      </c>
      <c r="AC102" s="10" t="n">
        <v>0.4409</v>
      </c>
      <c r="AD102" s="10" t="n">
        <v>0.469</v>
      </c>
      <c r="AE102" s="10" t="n">
        <v>0.75</v>
      </c>
      <c r="AF102" s="10" t="n">
        <v>0.6706</v>
      </c>
      <c r="AG102" s="12" t="n">
        <v>10.47</v>
      </c>
      <c r="AH102" s="11" t="n">
        <v>0</v>
      </c>
      <c r="AI102" s="1" t="s">
        <v>87</v>
      </c>
      <c r="AJ102" s="12" t="n">
        <v>8.62</v>
      </c>
      <c r="AK102" s="12" t="n">
        <v>8.42</v>
      </c>
      <c r="AL102" s="12" t="n">
        <v>8.67</v>
      </c>
      <c r="AM102" s="13" t="n">
        <v>-8.78580136766623</v>
      </c>
      <c r="AN102" s="11" t="n">
        <v>61</v>
      </c>
      <c r="AO102" s="11" t="n">
        <v>14</v>
      </c>
      <c r="AP102" s="14" t="s">
        <v>88</v>
      </c>
      <c r="AQ102" s="13" t="n">
        <v>-6.15006095736636</v>
      </c>
      <c r="AR102" s="11" t="n">
        <v>63</v>
      </c>
      <c r="AS102" s="13" t="n">
        <v>0.166661189113407</v>
      </c>
      <c r="AT102" s="13" t="n">
        <v>-5.98339976825296</v>
      </c>
      <c r="AU102" s="11" t="n">
        <v>68</v>
      </c>
      <c r="AV102" s="10"/>
      <c r="AW102" s="14" t="s">
        <v>89</v>
      </c>
      <c r="AX102" s="14" t="s">
        <v>90</v>
      </c>
      <c r="AY102" s="10" t="n">
        <v>-1.55411352079791</v>
      </c>
      <c r="AZ102" s="10" t="n">
        <v>98.4458864792021</v>
      </c>
      <c r="BA102" s="11" t="n">
        <v>48</v>
      </c>
      <c r="BB102" s="14" t="s">
        <v>91</v>
      </c>
      <c r="BC102" s="10"/>
      <c r="BD102" s="11"/>
      <c r="BE102" s="14" t="s">
        <v>92</v>
      </c>
      <c r="BF102" s="10" t="n">
        <v>0.00738984763629095</v>
      </c>
      <c r="BG102" s="11" t="n">
        <v>118</v>
      </c>
      <c r="BH102" s="11" t="n">
        <v>12</v>
      </c>
      <c r="BI102" s="11" t="n">
        <v>9</v>
      </c>
      <c r="BJ102" s="11" t="n">
        <v>2</v>
      </c>
      <c r="BK102" s="10"/>
      <c r="BL102" s="14" t="s">
        <v>93</v>
      </c>
      <c r="BM102" s="15" t="n">
        <f aca="false">(F102-'Ensemble Parameters'!$B$20)/'Ensemble Parameters'!$C$20</f>
        <v>-0.0574418522701781</v>
      </c>
      <c r="BN102" s="15" t="n">
        <f aca="false">(L102-'Ensemble Parameters'!$B$21)/'Ensemble Parameters'!$C$21</f>
        <v>-0.299910324417696</v>
      </c>
      <c r="BO102" s="15" t="n">
        <f aca="false">(S102-'Ensemble Parameters'!$B$22)/'Ensemble Parameters'!$C$22</f>
        <v>0.0250151871667167</v>
      </c>
      <c r="BP102" s="15" t="n">
        <f aca="false">(W102-'Ensemble Parameters'!$B$23)/'Ensemble Parameters'!$C$23</f>
        <v>0.00914632415425154</v>
      </c>
      <c r="BQ102" s="15" t="n">
        <f aca="false">AVERAGE(BO102:BP102)</f>
        <v>0.0170807556604841</v>
      </c>
      <c r="BR102" s="15" t="n">
        <f aca="false">(AQ102-'Ensemble Parameters'!$B$24)/'Ensemble Parameters'!$C$24</f>
        <v>-0.402398995154141</v>
      </c>
      <c r="BS102" s="15" t="n">
        <f aca="false">BM102*'Ensemble Parameters'!$B$5+BN102*'Ensemble Parameters'!$B$6+BQ102*'Ensemble Parameters'!$B$8+BR102*'Ensemble Parameters'!$B$7</f>
        <v>-0.185667604045383</v>
      </c>
      <c r="BT102" s="16" t="n">
        <f aca="false">'Ensemble Parameters'!$B$11+'Ensemble Parameters'!$B$12*BS102</f>
        <v>98.1433239595462</v>
      </c>
      <c r="BU102" s="17" t="n">
        <f aca="false">'Ensemble Parameters'!$B$13*BS102</f>
        <v>-2.59934645663536</v>
      </c>
      <c r="BV102" s="18" t="n">
        <f aca="false">RANK(BT102,$BT$5:$BT$125,0)</f>
        <v>51</v>
      </c>
      <c r="BW102" s="15" t="n">
        <f aca="false">STDEV(BM102,BN102,BQ102,BR102)</f>
        <v>0.197966862405252</v>
      </c>
      <c r="BX102" s="19" t="str">
        <f aca="false">IF(BW102&lt;'Ensemble Parameters'!$B$14,"High",IF(BW102&lt;'Ensemble Parameters'!$B$15,"Moderate","Low"))</f>
        <v>High</v>
      </c>
      <c r="BY102" s="19" t="str">
        <f aca="false">IF(BX102="Low","REVIEW — MODEL DISAGREEMENT","")</f>
        <v/>
      </c>
      <c r="BZ102" s="20" t="n">
        <v>4</v>
      </c>
    </row>
    <row r="103" customFormat="false" ht="15" hidden="false" customHeight="true" outlineLevel="0" collapsed="false">
      <c r="A103" s="7" t="s">
        <v>289</v>
      </c>
      <c r="B103" s="7" t="s">
        <v>292</v>
      </c>
      <c r="C103" s="7" t="s">
        <v>293</v>
      </c>
      <c r="D103" s="7" t="n">
        <v>69</v>
      </c>
      <c r="E103" s="7" t="s">
        <v>293</v>
      </c>
      <c r="F103" s="8" t="n">
        <v>21.818882851</v>
      </c>
      <c r="G103" s="9" t="n">
        <v>91</v>
      </c>
      <c r="H103" s="8" t="n">
        <v>4.0620137901655</v>
      </c>
      <c r="I103" s="8" t="n">
        <v>9.63284148050351</v>
      </c>
      <c r="J103" s="7" t="s">
        <v>83</v>
      </c>
      <c r="K103" s="7" t="s">
        <v>84</v>
      </c>
      <c r="L103" s="8" t="n">
        <v>-11.8035598271797</v>
      </c>
      <c r="M103" s="8" t="n">
        <v>88.1964401728203</v>
      </c>
      <c r="N103" s="9" t="n">
        <v>120</v>
      </c>
      <c r="O103" s="8" t="n">
        <v>0.4238</v>
      </c>
      <c r="P103" s="8" t="n">
        <v>-1.2192</v>
      </c>
      <c r="Q103" s="7" t="s">
        <v>85</v>
      </c>
      <c r="R103" s="1" t="s">
        <v>86</v>
      </c>
      <c r="S103" s="10" t="n">
        <v>0.275391</v>
      </c>
      <c r="T103" s="11" t="n">
        <v>120</v>
      </c>
      <c r="U103" s="10" t="n">
        <v>0.277516</v>
      </c>
      <c r="V103" s="11" t="n">
        <v>118</v>
      </c>
      <c r="W103" s="10" t="n">
        <v>0.30538</v>
      </c>
      <c r="X103" s="11" t="n">
        <v>120</v>
      </c>
      <c r="Y103" s="10" t="n">
        <v>0.30483955488</v>
      </c>
      <c r="Z103" s="11" t="n">
        <v>118</v>
      </c>
      <c r="AA103" s="10" t="n">
        <v>0.0806</v>
      </c>
      <c r="AB103" s="10" t="n">
        <v>0.4236</v>
      </c>
      <c r="AC103" s="10" t="n">
        <v>0.453</v>
      </c>
      <c r="AD103" s="10" t="n">
        <v>0.417</v>
      </c>
      <c r="AE103" s="10" t="n">
        <v>0.375</v>
      </c>
      <c r="AF103" s="10" t="n">
        <v>0.2993</v>
      </c>
      <c r="AG103" s="12" t="n">
        <v>12.63</v>
      </c>
      <c r="AH103" s="11" t="n">
        <v>-2</v>
      </c>
      <c r="AI103" s="1" t="s">
        <v>87</v>
      </c>
      <c r="AJ103" s="12" t="n">
        <v>4.32</v>
      </c>
      <c r="AK103" s="12" t="n">
        <v>4.47</v>
      </c>
      <c r="AL103" s="12" t="n">
        <v>4.1</v>
      </c>
      <c r="AM103" s="13" t="n">
        <v>-21.5158693007145</v>
      </c>
      <c r="AN103" s="11" t="n">
        <v>113</v>
      </c>
      <c r="AO103" s="11" t="n">
        <v>12</v>
      </c>
      <c r="AP103" s="14" t="s">
        <v>88</v>
      </c>
      <c r="AQ103" s="13" t="n">
        <v>-15.0611085105001</v>
      </c>
      <c r="AR103" s="11" t="n">
        <v>115</v>
      </c>
      <c r="AS103" s="13" t="n">
        <v>-0.73444140503544</v>
      </c>
      <c r="AT103" s="13" t="n">
        <v>-15.7955499155356</v>
      </c>
      <c r="AU103" s="11" t="n">
        <v>118</v>
      </c>
      <c r="AV103" s="10"/>
      <c r="AW103" s="14" t="s">
        <v>89</v>
      </c>
      <c r="AX103" s="14" t="s">
        <v>90</v>
      </c>
      <c r="AY103" s="10" t="n">
        <v>-13.4669052817252</v>
      </c>
      <c r="AZ103" s="10" t="n">
        <v>86.5330947182749</v>
      </c>
      <c r="BA103" s="11" t="n">
        <v>120</v>
      </c>
      <c r="BB103" s="14" t="s">
        <v>91</v>
      </c>
      <c r="BC103" s="10"/>
      <c r="BD103" s="11"/>
      <c r="BE103" s="14" t="s">
        <v>92</v>
      </c>
      <c r="BF103" s="10" t="n">
        <v>0.00798754251429939</v>
      </c>
      <c r="BG103" s="11" t="n">
        <v>116</v>
      </c>
      <c r="BH103" s="11" t="n">
        <v>12</v>
      </c>
      <c r="BI103" s="11" t="n">
        <v>10</v>
      </c>
      <c r="BJ103" s="11" t="n">
        <v>1</v>
      </c>
      <c r="BK103" s="10"/>
      <c r="BL103" s="14" t="s">
        <v>93</v>
      </c>
      <c r="BM103" s="15" t="n">
        <f aca="false">(F103-'Ensemble Parameters'!$B$20)/'Ensemble Parameters'!$C$20</f>
        <v>-0.764009975468167</v>
      </c>
      <c r="BN103" s="15" t="n">
        <f aca="false">(L103-'Ensemble Parameters'!$B$21)/'Ensemble Parameters'!$C$21</f>
        <v>-1.23726022906785</v>
      </c>
      <c r="BO103" s="15" t="n">
        <f aca="false">(S103-'Ensemble Parameters'!$B$22)/'Ensemble Parameters'!$C$22</f>
        <v>-1.41240493427493</v>
      </c>
      <c r="BP103" s="15" t="n">
        <f aca="false">(W103-'Ensemble Parameters'!$B$23)/'Ensemble Parameters'!$C$23</f>
        <v>-1.43540311094269</v>
      </c>
      <c r="BQ103" s="15" t="n">
        <f aca="false">AVERAGE(BO103:BP103)</f>
        <v>-1.42390402260881</v>
      </c>
      <c r="BR103" s="15" t="n">
        <f aca="false">(AQ103-'Ensemble Parameters'!$B$24)/'Ensemble Parameters'!$C$24</f>
        <v>-0.993678379540151</v>
      </c>
      <c r="BS103" s="15" t="n">
        <f aca="false">BM103*'Ensemble Parameters'!$B$5+BN103*'Ensemble Parameters'!$B$6+BQ103*'Ensemble Parameters'!$B$8+BR103*'Ensemble Parameters'!$B$7</f>
        <v>-1.10471315167124</v>
      </c>
      <c r="BT103" s="16" t="n">
        <f aca="false">'Ensemble Parameters'!$B$11+'Ensemble Parameters'!$B$12*BS103</f>
        <v>88.9528684832876</v>
      </c>
      <c r="BU103" s="17" t="n">
        <f aca="false">'Ensemble Parameters'!$B$13*BS103</f>
        <v>-15.4659841233974</v>
      </c>
      <c r="BV103" s="18" t="n">
        <f aca="false">RANK(BT103,$BT$5:$BT$125,0)</f>
        <v>115</v>
      </c>
      <c r="BW103" s="15" t="n">
        <f aca="false">STDEV(BM103,BN103,BQ103,BR103)</f>
        <v>0.287436320317697</v>
      </c>
      <c r="BX103" s="19" t="str">
        <f aca="false">IF(BW103&lt;'Ensemble Parameters'!$B$14,"High",IF(BW103&lt;'Ensemble Parameters'!$B$15,"Moderate","Low"))</f>
        <v>High</v>
      </c>
      <c r="BY103" s="19" t="str">
        <f aca="false">IF(BX103="Low","REVIEW — MODEL DISAGREEMENT","")</f>
        <v/>
      </c>
      <c r="BZ103" s="20" t="n">
        <v>4</v>
      </c>
    </row>
    <row r="104" customFormat="false" ht="15" hidden="false" customHeight="true" outlineLevel="0" collapsed="false">
      <c r="A104" s="7" t="s">
        <v>289</v>
      </c>
      <c r="B104" s="7" t="s">
        <v>294</v>
      </c>
      <c r="C104" s="7" t="s">
        <v>295</v>
      </c>
      <c r="D104" s="7" t="n">
        <v>70</v>
      </c>
      <c r="E104" s="7" t="s">
        <v>295</v>
      </c>
      <c r="F104" s="8" t="n">
        <v>22.247847212</v>
      </c>
      <c r="G104" s="9" t="n">
        <v>84</v>
      </c>
      <c r="H104" s="8" t="n">
        <v>4.16871603831552</v>
      </c>
      <c r="I104" s="8" t="n">
        <v>9.74169909705345</v>
      </c>
      <c r="J104" s="7" t="s">
        <v>83</v>
      </c>
      <c r="K104" s="7" t="s">
        <v>84</v>
      </c>
      <c r="L104" s="8" t="n">
        <v>-8.52120230682266</v>
      </c>
      <c r="M104" s="8" t="n">
        <v>91.4787976931773</v>
      </c>
      <c r="N104" s="9" t="n">
        <v>100</v>
      </c>
      <c r="O104" s="8" t="n">
        <v>0.514219047619048</v>
      </c>
      <c r="P104" s="8" t="n">
        <v>0.227504761904763</v>
      </c>
      <c r="Q104" s="7" t="s">
        <v>85</v>
      </c>
      <c r="R104" s="1" t="s">
        <v>86</v>
      </c>
      <c r="S104" s="10" t="n">
        <v>0.366581</v>
      </c>
      <c r="T104" s="11" t="n">
        <v>83</v>
      </c>
      <c r="U104" s="10" t="n">
        <v>0.389081</v>
      </c>
      <c r="V104" s="11" t="n">
        <v>86</v>
      </c>
      <c r="W104" s="10" t="n">
        <v>0.392005</v>
      </c>
      <c r="X104" s="11" t="n">
        <v>82</v>
      </c>
      <c r="Y104" s="10" t="n">
        <v>0.412244580855</v>
      </c>
      <c r="Z104" s="11" t="n">
        <v>86</v>
      </c>
      <c r="AA104" s="10" t="n">
        <v>0.1728</v>
      </c>
      <c r="AB104" s="10" t="n">
        <v>0.534</v>
      </c>
      <c r="AC104" s="10" t="n">
        <v>0.4281</v>
      </c>
      <c r="AD104" s="10" t="n">
        <v>0.427</v>
      </c>
      <c r="AE104" s="10" t="n">
        <v>0.75</v>
      </c>
      <c r="AF104" s="10" t="n">
        <v>0.6197</v>
      </c>
      <c r="AG104" s="12" t="n">
        <v>8.42</v>
      </c>
      <c r="AH104" s="11" t="n">
        <v>3</v>
      </c>
      <c r="AI104" s="1" t="s">
        <v>87</v>
      </c>
      <c r="AJ104" s="12" t="n">
        <v>6.05</v>
      </c>
      <c r="AK104" s="12" t="n">
        <v>6.12</v>
      </c>
      <c r="AL104" s="12" t="n">
        <v>6.61</v>
      </c>
      <c r="AM104" s="13" t="n">
        <v>-17.8339869222902</v>
      </c>
      <c r="AN104" s="11" t="n">
        <v>94</v>
      </c>
      <c r="AO104" s="11" t="n">
        <v>12</v>
      </c>
      <c r="AP104" s="14" t="s">
        <v>88</v>
      </c>
      <c r="AQ104" s="13" t="n">
        <v>-12.4837908456031</v>
      </c>
      <c r="AR104" s="11" t="n">
        <v>96</v>
      </c>
      <c r="AS104" s="13" t="n">
        <v>0.21133474261177</v>
      </c>
      <c r="AT104" s="13" t="n">
        <v>-12.2724561029914</v>
      </c>
      <c r="AU104" s="11" t="n">
        <v>95</v>
      </c>
      <c r="AV104" s="10"/>
      <c r="AW104" s="14" t="s">
        <v>89</v>
      </c>
      <c r="AX104" s="14" t="s">
        <v>90</v>
      </c>
      <c r="AY104" s="10" t="n">
        <v>-7.62134776136811</v>
      </c>
      <c r="AZ104" s="10" t="n">
        <v>92.3786522386319</v>
      </c>
      <c r="BA104" s="11" t="n">
        <v>92</v>
      </c>
      <c r="BB104" s="14" t="s">
        <v>91</v>
      </c>
      <c r="BC104" s="10"/>
      <c r="BD104" s="11"/>
      <c r="BE104" s="14" t="s">
        <v>92</v>
      </c>
      <c r="BF104" s="10" t="n">
        <v>0.00802711165228529</v>
      </c>
      <c r="BG104" s="11" t="n">
        <v>112</v>
      </c>
      <c r="BH104" s="11" t="n">
        <v>12</v>
      </c>
      <c r="BI104" s="11" t="n">
        <v>10</v>
      </c>
      <c r="BJ104" s="11" t="n">
        <v>1</v>
      </c>
      <c r="BK104" s="10"/>
      <c r="BL104" s="14" t="s">
        <v>93</v>
      </c>
      <c r="BM104" s="15" t="n">
        <f aca="false">(F104-'Ensemble Parameters'!$B$20)/'Ensemble Parameters'!$C$20</f>
        <v>-0.665607592946717</v>
      </c>
      <c r="BN104" s="15" t="n">
        <f aca="false">(L104-'Ensemble Parameters'!$B$21)/'Ensemble Parameters'!$C$21</f>
        <v>-0.893200430415576</v>
      </c>
      <c r="BO104" s="15" t="n">
        <f aca="false">(S104-'Ensemble Parameters'!$B$22)/'Ensemble Parameters'!$C$22</f>
        <v>-0.776478925046106</v>
      </c>
      <c r="BP104" s="15" t="n">
        <f aca="false">(W104-'Ensemble Parameters'!$B$23)/'Ensemble Parameters'!$C$23</f>
        <v>-0.756654495108058</v>
      </c>
      <c r="BQ104" s="15" t="n">
        <f aca="false">AVERAGE(BO104:BP104)</f>
        <v>-0.766566710077082</v>
      </c>
      <c r="BR104" s="15" t="n">
        <f aca="false">(AQ104-'Ensemble Parameters'!$B$24)/'Ensemble Parameters'!$C$24</f>
        <v>-0.822664276744619</v>
      </c>
      <c r="BS104" s="15" t="n">
        <f aca="false">BM104*'Ensemble Parameters'!$B$5+BN104*'Ensemble Parameters'!$B$6+BQ104*'Ensemble Parameters'!$B$8+BR104*'Ensemble Parameters'!$B$7</f>
        <v>-0.787009752545999</v>
      </c>
      <c r="BT104" s="16" t="n">
        <f aca="false">'Ensemble Parameters'!$B$11+'Ensemble Parameters'!$B$12*BS104</f>
        <v>92.12990247454</v>
      </c>
      <c r="BU104" s="17" t="n">
        <f aca="false">'Ensemble Parameters'!$B$13*BS104</f>
        <v>-11.018136535644</v>
      </c>
      <c r="BV104" s="18" t="n">
        <f aca="false">RANK(BT104,$BT$5:$BT$125,0)</f>
        <v>96</v>
      </c>
      <c r="BW104" s="15" t="n">
        <f aca="false">STDEV(BM104,BN104,BQ104,BR104)</f>
        <v>0.0960973594902339</v>
      </c>
      <c r="BX104" s="19" t="str">
        <f aca="false">IF(BW104&lt;'Ensemble Parameters'!$B$14,"High",IF(BW104&lt;'Ensemble Parameters'!$B$15,"Moderate","Low"))</f>
        <v>High</v>
      </c>
      <c r="BY104" s="19" t="str">
        <f aca="false">IF(BX104="Low","REVIEW — MODEL DISAGREEMENT","")</f>
        <v/>
      </c>
      <c r="BZ104" s="20" t="n">
        <v>4</v>
      </c>
    </row>
    <row r="105" customFormat="false" ht="15" hidden="false" customHeight="true" outlineLevel="0" collapsed="false">
      <c r="A105" s="7" t="s">
        <v>289</v>
      </c>
      <c r="B105" s="7" t="s">
        <v>296</v>
      </c>
      <c r="C105" s="7" t="s">
        <v>297</v>
      </c>
      <c r="D105" s="7" t="n">
        <v>71</v>
      </c>
      <c r="E105" s="7" t="s">
        <v>297</v>
      </c>
      <c r="F105" s="8" t="n">
        <v>20.40963268</v>
      </c>
      <c r="G105" s="9" t="n">
        <v>113</v>
      </c>
      <c r="H105" s="8" t="n">
        <v>4.24965365192992</v>
      </c>
      <c r="I105" s="8" t="n">
        <v>7.66067172421024</v>
      </c>
      <c r="J105" s="7" t="s">
        <v>83</v>
      </c>
      <c r="K105" s="7" t="s">
        <v>84</v>
      </c>
      <c r="L105" s="8" t="n">
        <v>-11.1666832449611</v>
      </c>
      <c r="M105" s="8" t="n">
        <v>88.8333167550389</v>
      </c>
      <c r="N105" s="9" t="n">
        <v>118</v>
      </c>
      <c r="O105" s="8" t="n">
        <v>0.456047619047619</v>
      </c>
      <c r="P105" s="8" t="n">
        <v>-0.703238095238095</v>
      </c>
      <c r="Q105" s="7" t="s">
        <v>85</v>
      </c>
      <c r="R105" s="1" t="s">
        <v>86</v>
      </c>
      <c r="S105" s="10" t="n">
        <v>0.299182</v>
      </c>
      <c r="T105" s="11" t="n">
        <v>115</v>
      </c>
      <c r="U105" s="10" t="n">
        <v>0.298899</v>
      </c>
      <c r="V105" s="11" t="n">
        <v>113</v>
      </c>
      <c r="W105" s="10" t="n">
        <v>0.326535</v>
      </c>
      <c r="X105" s="11" t="n">
        <v>116</v>
      </c>
      <c r="Y105" s="10" t="n">
        <v>0.323820774385</v>
      </c>
      <c r="Z105" s="11" t="n">
        <v>113</v>
      </c>
      <c r="AA105" s="10" t="n">
        <v>0.0933</v>
      </c>
      <c r="AB105" s="10" t="n">
        <v>0.4334</v>
      </c>
      <c r="AC105" s="10" t="n">
        <v>0.4508</v>
      </c>
      <c r="AD105" s="10" t="n">
        <v>0.57</v>
      </c>
      <c r="AE105" s="10" t="n">
        <v>0.375</v>
      </c>
      <c r="AF105" s="10" t="n">
        <v>0.296</v>
      </c>
      <c r="AG105" s="12" t="n">
        <v>12.22</v>
      </c>
      <c r="AH105" s="11" t="n">
        <v>-2</v>
      </c>
      <c r="AI105" s="1" t="s">
        <v>87</v>
      </c>
      <c r="AJ105" s="12" t="n">
        <v>4.55</v>
      </c>
      <c r="AK105" s="12" t="n">
        <v>4.65</v>
      </c>
      <c r="AL105" s="12" t="n">
        <v>4.2</v>
      </c>
      <c r="AM105" s="13" t="n">
        <v>-22.269913548123</v>
      </c>
      <c r="AN105" s="11" t="n">
        <v>115</v>
      </c>
      <c r="AO105" s="11" t="n">
        <v>12</v>
      </c>
      <c r="AP105" s="14" t="s">
        <v>88</v>
      </c>
      <c r="AQ105" s="13" t="n">
        <v>-15.5889394836861</v>
      </c>
      <c r="AR105" s="11" t="n">
        <v>117</v>
      </c>
      <c r="AS105" s="13" t="n">
        <v>-0.386466793740856</v>
      </c>
      <c r="AT105" s="13" t="n">
        <v>-15.9754062774269</v>
      </c>
      <c r="AU105" s="11" t="n">
        <v>119</v>
      </c>
      <c r="AV105" s="10"/>
      <c r="AW105" s="14" t="s">
        <v>89</v>
      </c>
      <c r="AX105" s="14" t="s">
        <v>90</v>
      </c>
      <c r="AY105" s="10" t="n">
        <v>-12.8564286995066</v>
      </c>
      <c r="AZ105" s="10" t="n">
        <v>87.1435713004934</v>
      </c>
      <c r="BA105" s="11" t="n">
        <v>118</v>
      </c>
      <c r="BB105" s="14" t="s">
        <v>91</v>
      </c>
      <c r="BC105" s="10"/>
      <c r="BD105" s="11"/>
      <c r="BE105" s="14" t="s">
        <v>92</v>
      </c>
      <c r="BF105" s="10" t="n">
        <v>0.00798692740176938</v>
      </c>
      <c r="BG105" s="11" t="n">
        <v>117</v>
      </c>
      <c r="BH105" s="11" t="n">
        <v>12</v>
      </c>
      <c r="BI105" s="11" t="n">
        <v>10</v>
      </c>
      <c r="BJ105" s="11" t="n">
        <v>1</v>
      </c>
      <c r="BK105" s="10"/>
      <c r="BL105" s="14" t="s">
        <v>93</v>
      </c>
      <c r="BM105" s="15" t="n">
        <f aca="false">(F105-'Ensemble Parameters'!$B$20)/'Ensemble Parameters'!$C$20</f>
        <v>-1.08728525659382</v>
      </c>
      <c r="BN105" s="15" t="n">
        <f aca="false">(L105-'Ensemble Parameters'!$B$21)/'Ensemble Parameters'!$C$21</f>
        <v>-1.17050222745301</v>
      </c>
      <c r="BO105" s="15" t="n">
        <f aca="false">(S105-'Ensemble Parameters'!$B$22)/'Ensemble Parameters'!$C$22</f>
        <v>-1.24649512305042</v>
      </c>
      <c r="BP105" s="15" t="n">
        <f aca="false">(W105-'Ensemble Parameters'!$B$23)/'Ensemble Parameters'!$C$23</f>
        <v>-1.26964349226469</v>
      </c>
      <c r="BQ105" s="15" t="n">
        <f aca="false">AVERAGE(BO105:BP105)</f>
        <v>-1.25806930765756</v>
      </c>
      <c r="BR105" s="15" t="n">
        <f aca="false">(AQ105-'Ensemble Parameters'!$B$24)/'Ensemble Parameters'!$C$24</f>
        <v>-1.02870182330749</v>
      </c>
      <c r="BS105" s="15" t="n">
        <f aca="false">BM105*'Ensemble Parameters'!$B$5+BN105*'Ensemble Parameters'!$B$6+BQ105*'Ensemble Parameters'!$B$8+BR105*'Ensemble Parameters'!$B$7</f>
        <v>-1.13613965375297</v>
      </c>
      <c r="BT105" s="16" t="n">
        <f aca="false">'Ensemble Parameters'!$B$11+'Ensemble Parameters'!$B$12*BS105</f>
        <v>88.6386034624703</v>
      </c>
      <c r="BU105" s="17" t="n">
        <f aca="false">'Ensemble Parameters'!$B$13*BS105</f>
        <v>-15.9059551525416</v>
      </c>
      <c r="BV105" s="18" t="n">
        <f aca="false">RANK(BT105,$BT$5:$BT$125,0)</f>
        <v>117</v>
      </c>
      <c r="BW105" s="15" t="n">
        <f aca="false">STDEV(BM105,BN105,BQ105,BR105)</f>
        <v>0.0999621036613337</v>
      </c>
      <c r="BX105" s="19" t="str">
        <f aca="false">IF(BW105&lt;'Ensemble Parameters'!$B$14,"High",IF(BW105&lt;'Ensemble Parameters'!$B$15,"Moderate","Low"))</f>
        <v>High</v>
      </c>
      <c r="BY105" s="19" t="str">
        <f aca="false">IF(BX105="Low","REVIEW — MODEL DISAGREEMENT","")</f>
        <v/>
      </c>
      <c r="BZ105" s="20" t="n">
        <v>4</v>
      </c>
    </row>
    <row r="106" customFormat="false" ht="15" hidden="false" customHeight="true" outlineLevel="0" collapsed="false">
      <c r="A106" s="7" t="s">
        <v>289</v>
      </c>
      <c r="B106" s="7" t="s">
        <v>298</v>
      </c>
      <c r="C106" s="7" t="s">
        <v>299</v>
      </c>
      <c r="D106" s="7" t="n">
        <v>72</v>
      </c>
      <c r="E106" s="7" t="s">
        <v>299</v>
      </c>
      <c r="F106" s="8" t="n">
        <v>22.873113259</v>
      </c>
      <c r="G106" s="9" t="n">
        <v>74</v>
      </c>
      <c r="H106" s="8" t="n">
        <v>4.02588394100291</v>
      </c>
      <c r="I106" s="8" t="n">
        <v>10.7954614359913</v>
      </c>
      <c r="J106" s="7" t="s">
        <v>83</v>
      </c>
      <c r="K106" s="7" t="s">
        <v>84</v>
      </c>
      <c r="L106" s="8" t="n">
        <v>-7.42952447036884</v>
      </c>
      <c r="M106" s="8" t="n">
        <v>92.5704755296312</v>
      </c>
      <c r="N106" s="9" t="n">
        <v>91</v>
      </c>
      <c r="O106" s="8" t="n">
        <v>0.569847619047619</v>
      </c>
      <c r="P106" s="8" t="n">
        <v>1.11756190476191</v>
      </c>
      <c r="Q106" s="7" t="s">
        <v>85</v>
      </c>
      <c r="R106" s="1" t="s">
        <v>86</v>
      </c>
      <c r="S106" s="10" t="n">
        <v>0.390458</v>
      </c>
      <c r="T106" s="11" t="n">
        <v>77</v>
      </c>
      <c r="U106" s="10" t="n">
        <v>0.411422</v>
      </c>
      <c r="V106" s="11" t="n">
        <v>72</v>
      </c>
      <c r="W106" s="10" t="n">
        <v>0.41729</v>
      </c>
      <c r="X106" s="11" t="n">
        <v>71</v>
      </c>
      <c r="Y106" s="10" t="n">
        <v>0.43586868989</v>
      </c>
      <c r="Z106" s="11" t="n">
        <v>72</v>
      </c>
      <c r="AA106" s="10" t="n">
        <v>0.155</v>
      </c>
      <c r="AB106" s="10" t="n">
        <v>0.6537</v>
      </c>
      <c r="AC106" s="10" t="n">
        <v>0.4512</v>
      </c>
      <c r="AD106" s="10" t="n">
        <v>0.445</v>
      </c>
      <c r="AE106" s="10" t="n">
        <v>0.75</v>
      </c>
      <c r="AF106" s="10" t="n">
        <v>0.6263</v>
      </c>
      <c r="AG106" s="12" t="n">
        <v>12.3</v>
      </c>
      <c r="AH106" s="11" t="n">
        <v>-5</v>
      </c>
      <c r="AI106" s="1" t="s">
        <v>87</v>
      </c>
      <c r="AJ106" s="12" t="n">
        <v>7.37</v>
      </c>
      <c r="AK106" s="12" t="n">
        <v>7.5</v>
      </c>
      <c r="AL106" s="12" t="n">
        <v>8.4</v>
      </c>
      <c r="AM106" s="13" t="n">
        <v>-18.0934132368977</v>
      </c>
      <c r="AN106" s="11" t="n">
        <v>97</v>
      </c>
      <c r="AO106" s="11" t="n">
        <v>13</v>
      </c>
      <c r="AP106" s="14" t="s">
        <v>88</v>
      </c>
      <c r="AQ106" s="13" t="n">
        <v>-12.6653892658284</v>
      </c>
      <c r="AR106" s="11" t="n">
        <v>99</v>
      </c>
      <c r="AS106" s="13" t="n">
        <v>1.02032568154378</v>
      </c>
      <c r="AT106" s="13" t="n">
        <v>-11.6450635842846</v>
      </c>
      <c r="AU106" s="11" t="n">
        <v>92</v>
      </c>
      <c r="AV106" s="10"/>
      <c r="AW106" s="14" t="s">
        <v>89</v>
      </c>
      <c r="AX106" s="14" t="s">
        <v>90</v>
      </c>
      <c r="AY106" s="10" t="n">
        <v>-6.47686992491429</v>
      </c>
      <c r="AZ106" s="10" t="n">
        <v>93.5231300750857</v>
      </c>
      <c r="BA106" s="11" t="n">
        <v>85</v>
      </c>
      <c r="BB106" s="14" t="s">
        <v>91</v>
      </c>
      <c r="BC106" s="10"/>
      <c r="BD106" s="11"/>
      <c r="BE106" s="14" t="s">
        <v>92</v>
      </c>
      <c r="BF106" s="10" t="n">
        <v>0.00678723001045253</v>
      </c>
      <c r="BG106" s="11" t="n">
        <v>121</v>
      </c>
      <c r="BH106" s="11" t="n">
        <v>12</v>
      </c>
      <c r="BI106" s="11" t="n">
        <v>8</v>
      </c>
      <c r="BJ106" s="11" t="n">
        <v>3</v>
      </c>
      <c r="BK106" s="10"/>
      <c r="BL106" s="14" t="s">
        <v>93</v>
      </c>
      <c r="BM106" s="15" t="n">
        <f aca="false">(F106-'Ensemble Parameters'!$B$20)/'Ensemble Parameters'!$C$20</f>
        <v>-0.522174538062773</v>
      </c>
      <c r="BN106" s="15" t="n">
        <f aca="false">(L106-'Ensemble Parameters'!$B$21)/'Ensemble Parameters'!$C$21</f>
        <v>-0.778769734102337</v>
      </c>
      <c r="BO106" s="15" t="n">
        <f aca="false">(S106-'Ensemble Parameters'!$B$22)/'Ensemble Parameters'!$C$22</f>
        <v>-0.609969380991312</v>
      </c>
      <c r="BP106" s="15" t="n">
        <f aca="false">(W106-'Ensemble Parameters'!$B$23)/'Ensemble Parameters'!$C$23</f>
        <v>-0.558534336361984</v>
      </c>
      <c r="BQ106" s="15" t="n">
        <f aca="false">AVERAGE(BO106:BP106)</f>
        <v>-0.584251858676648</v>
      </c>
      <c r="BR106" s="15" t="n">
        <f aca="false">(AQ106-'Ensemble Parameters'!$B$24)/'Ensemble Parameters'!$C$24</f>
        <v>-0.834713971404651</v>
      </c>
      <c r="BS106" s="15" t="n">
        <f aca="false">BM106*'Ensemble Parameters'!$B$5+BN106*'Ensemble Parameters'!$B$6+BQ106*'Ensemble Parameters'!$B$8+BR106*'Ensemble Parameters'!$B$7</f>
        <v>-0.679977525561602</v>
      </c>
      <c r="BT106" s="16" t="n">
        <f aca="false">'Ensemble Parameters'!$B$11+'Ensemble Parameters'!$B$12*BS106</f>
        <v>93.200224744384</v>
      </c>
      <c r="BU106" s="17" t="n">
        <f aca="false">'Ensemble Parameters'!$B$13*BS106</f>
        <v>-9.51968535786243</v>
      </c>
      <c r="BV106" s="18" t="n">
        <f aca="false">RANK(BT106,$BT$5:$BT$125,0)</f>
        <v>84</v>
      </c>
      <c r="BW106" s="15" t="n">
        <f aca="false">STDEV(BM106,BN106,BQ106,BR106)</f>
        <v>0.150297986574028</v>
      </c>
      <c r="BX106" s="19" t="str">
        <f aca="false">IF(BW106&lt;'Ensemble Parameters'!$B$14,"High",IF(BW106&lt;'Ensemble Parameters'!$B$15,"Moderate","Low"))</f>
        <v>High</v>
      </c>
      <c r="BY106" s="19" t="str">
        <f aca="false">IF(BX106="Low","REVIEW — MODEL DISAGREEMENT","")</f>
        <v/>
      </c>
      <c r="BZ106" s="20" t="n">
        <v>4</v>
      </c>
    </row>
    <row r="107" customFormat="false" ht="15" hidden="false" customHeight="true" outlineLevel="0" collapsed="false">
      <c r="A107" s="7" t="s">
        <v>289</v>
      </c>
      <c r="B107" s="7" t="s">
        <v>300</v>
      </c>
      <c r="C107" s="7" t="s">
        <v>301</v>
      </c>
      <c r="D107" s="7" t="n">
        <v>73</v>
      </c>
      <c r="E107" s="7" t="s">
        <v>301</v>
      </c>
      <c r="F107" s="8" t="n">
        <v>22.482316174</v>
      </c>
      <c r="G107" s="9" t="n">
        <v>82</v>
      </c>
      <c r="H107" s="8" t="n">
        <v>4.17068109018866</v>
      </c>
      <c r="I107" s="8" t="n">
        <v>9.97027290343402</v>
      </c>
      <c r="J107" s="7" t="s">
        <v>83</v>
      </c>
      <c r="K107" s="7" t="s">
        <v>84</v>
      </c>
      <c r="L107" s="8" t="n">
        <v>-8.47920266412239</v>
      </c>
      <c r="M107" s="8" t="n">
        <v>91.5207973358776</v>
      </c>
      <c r="N107" s="9" t="n">
        <v>98</v>
      </c>
      <c r="O107" s="8" t="n">
        <v>0.533142857142857</v>
      </c>
      <c r="P107" s="8" t="n">
        <v>0.530285714285714</v>
      </c>
      <c r="Q107" s="7" t="s">
        <v>85</v>
      </c>
      <c r="R107" s="1" t="s">
        <v>86</v>
      </c>
      <c r="S107" s="10" t="n">
        <v>0.364913</v>
      </c>
      <c r="T107" s="11" t="n">
        <v>87</v>
      </c>
      <c r="U107" s="10" t="n">
        <v>0.380325</v>
      </c>
      <c r="V107" s="11" t="n">
        <v>89</v>
      </c>
      <c r="W107" s="10" t="n">
        <v>0.393385</v>
      </c>
      <c r="X107" s="11" t="n">
        <v>85</v>
      </c>
      <c r="Y107" s="10" t="n">
        <v>0.406266349435</v>
      </c>
      <c r="Z107" s="11" t="n">
        <v>89</v>
      </c>
      <c r="AA107" s="10" t="n">
        <v>0.1441</v>
      </c>
      <c r="AB107" s="10" t="n">
        <v>0.54</v>
      </c>
      <c r="AC107" s="10" t="n">
        <v>0.443</v>
      </c>
      <c r="AD107" s="10" t="n">
        <v>0.492</v>
      </c>
      <c r="AE107" s="10" t="n">
        <v>0.75</v>
      </c>
      <c r="AF107" s="10" t="n">
        <v>0.5383</v>
      </c>
      <c r="AG107" s="12" t="n">
        <v>10.84</v>
      </c>
      <c r="AH107" s="11" t="n">
        <v>2</v>
      </c>
      <c r="AI107" s="1" t="s">
        <v>87</v>
      </c>
      <c r="AJ107" s="12" t="n">
        <v>6.26</v>
      </c>
      <c r="AK107" s="12" t="n">
        <v>6.42</v>
      </c>
      <c r="AL107" s="12" t="n">
        <v>7.16</v>
      </c>
      <c r="AM107" s="13" t="n">
        <v>-19.7503701243739</v>
      </c>
      <c r="AN107" s="11" t="n">
        <v>104</v>
      </c>
      <c r="AO107" s="11" t="n">
        <v>12</v>
      </c>
      <c r="AP107" s="14" t="s">
        <v>88</v>
      </c>
      <c r="AQ107" s="13" t="n">
        <v>-13.8252590870617</v>
      </c>
      <c r="AR107" s="11" t="n">
        <v>106</v>
      </c>
      <c r="AS107" s="13" t="n">
        <v>0.585985268171572</v>
      </c>
      <c r="AT107" s="13" t="n">
        <v>-13.2392738188901</v>
      </c>
      <c r="AU107" s="11" t="n">
        <v>102</v>
      </c>
      <c r="AV107" s="10"/>
      <c r="AW107" s="14" t="s">
        <v>89</v>
      </c>
      <c r="AX107" s="14" t="s">
        <v>90</v>
      </c>
      <c r="AY107" s="10" t="n">
        <v>-8.23054811866785</v>
      </c>
      <c r="AZ107" s="10" t="n">
        <v>91.7694518813322</v>
      </c>
      <c r="BA107" s="11" t="n">
        <v>94</v>
      </c>
      <c r="BB107" s="14" t="s">
        <v>91</v>
      </c>
      <c r="BC107" s="10"/>
      <c r="BD107" s="11"/>
      <c r="BE107" s="14" t="s">
        <v>92</v>
      </c>
      <c r="BF107" s="10" t="n">
        <v>0.00798769205252058</v>
      </c>
      <c r="BG107" s="11" t="n">
        <v>115</v>
      </c>
      <c r="BH107" s="11" t="n">
        <v>12</v>
      </c>
      <c r="BI107" s="11" t="n">
        <v>10</v>
      </c>
      <c r="BJ107" s="11" t="n">
        <v>1</v>
      </c>
      <c r="BK107" s="10"/>
      <c r="BL107" s="14" t="s">
        <v>93</v>
      </c>
      <c r="BM107" s="15" t="n">
        <f aca="false">(F107-'Ensemble Parameters'!$B$20)/'Ensemble Parameters'!$C$20</f>
        <v>-0.611821529147978</v>
      </c>
      <c r="BN107" s="15" t="n">
        <f aca="false">(L107-'Ensemble Parameters'!$B$21)/'Ensemble Parameters'!$C$21</f>
        <v>-0.88879798841427</v>
      </c>
      <c r="BO107" s="15" t="n">
        <f aca="false">(S107-'Ensemble Parameters'!$B$22)/'Ensemble Parameters'!$C$22</f>
        <v>-0.788110952498608</v>
      </c>
      <c r="BP107" s="15" t="n">
        <f aca="false">(W107-'Ensemble Parameters'!$B$23)/'Ensemble Parameters'!$C$23</f>
        <v>-0.745841530145844</v>
      </c>
      <c r="BQ107" s="15" t="n">
        <f aca="false">AVERAGE(BO107:BP107)</f>
        <v>-0.766976241322226</v>
      </c>
      <c r="BR107" s="15" t="n">
        <f aca="false">(AQ107-'Ensemble Parameters'!$B$24)/'Ensemble Parameters'!$C$24</f>
        <v>-0.911675418392504</v>
      </c>
      <c r="BS107" s="15" t="n">
        <f aca="false">BM107*'Ensemble Parameters'!$B$5+BN107*'Ensemble Parameters'!$B$6+BQ107*'Ensemble Parameters'!$B$8+BR107*'Ensemble Parameters'!$B$7</f>
        <v>-0.794817794319245</v>
      </c>
      <c r="BT107" s="16" t="n">
        <f aca="false">'Ensemble Parameters'!$B$11+'Ensemble Parameters'!$B$12*BS107</f>
        <v>92.0518220568076</v>
      </c>
      <c r="BU107" s="17" t="n">
        <f aca="false">'Ensemble Parameters'!$B$13*BS107</f>
        <v>-11.1274491204694</v>
      </c>
      <c r="BV107" s="18" t="n">
        <f aca="false">RANK(BT107,$BT$5:$BT$125,0)</f>
        <v>97</v>
      </c>
      <c r="BW107" s="15" t="n">
        <f aca="false">STDEV(BM107,BN107,BQ107,BR107)</f>
        <v>0.137538802193059</v>
      </c>
      <c r="BX107" s="19" t="str">
        <f aca="false">IF(BW107&lt;'Ensemble Parameters'!$B$14,"High",IF(BW107&lt;'Ensemble Parameters'!$B$15,"Moderate","Low"))</f>
        <v>High</v>
      </c>
      <c r="BY107" s="19" t="str">
        <f aca="false">IF(BX107="Low","REVIEW — MODEL DISAGREEMENT","")</f>
        <v/>
      </c>
      <c r="BZ107" s="20" t="n">
        <v>4</v>
      </c>
    </row>
    <row r="108" customFormat="false" ht="15" hidden="false" customHeight="true" outlineLevel="0" collapsed="false">
      <c r="A108" s="7" t="s">
        <v>289</v>
      </c>
      <c r="B108" s="7" t="s">
        <v>302</v>
      </c>
      <c r="C108" s="7" t="s">
        <v>303</v>
      </c>
      <c r="D108" s="7" t="n">
        <v>74</v>
      </c>
      <c r="E108" s="7" t="s">
        <v>303</v>
      </c>
      <c r="F108" s="8" t="n">
        <v>22.694935203</v>
      </c>
      <c r="G108" s="9" t="n">
        <v>78</v>
      </c>
      <c r="H108" s="8" t="n">
        <v>4.01659256894466</v>
      </c>
      <c r="I108" s="8" t="n">
        <v>10.645157496166</v>
      </c>
      <c r="J108" s="7" t="s">
        <v>83</v>
      </c>
      <c r="K108" s="7" t="s">
        <v>84</v>
      </c>
      <c r="L108" s="8" t="n">
        <v>-7.82607136947579</v>
      </c>
      <c r="M108" s="8" t="n">
        <v>92.1739286305242</v>
      </c>
      <c r="N108" s="9" t="n">
        <v>93</v>
      </c>
      <c r="O108" s="8" t="n">
        <v>0.495495238095238</v>
      </c>
      <c r="P108" s="8" t="n">
        <v>-0.0720761904761904</v>
      </c>
      <c r="Q108" s="7" t="s">
        <v>85</v>
      </c>
      <c r="R108" s="1" t="s">
        <v>86</v>
      </c>
      <c r="S108" s="10" t="n">
        <v>0.378788</v>
      </c>
      <c r="T108" s="11" t="n">
        <v>90</v>
      </c>
      <c r="U108" s="10" t="n">
        <v>0.378584</v>
      </c>
      <c r="V108" s="11" t="n">
        <v>92</v>
      </c>
      <c r="W108" s="10" t="n">
        <v>0.402215</v>
      </c>
      <c r="X108" s="11" t="n">
        <v>90</v>
      </c>
      <c r="Y108" s="10" t="n">
        <v>0.399929219365</v>
      </c>
      <c r="Z108" s="11" t="n">
        <v>92</v>
      </c>
      <c r="AA108" s="10" t="n">
        <v>0.2256</v>
      </c>
      <c r="AB108" s="10" t="n">
        <v>0.4735</v>
      </c>
      <c r="AC108" s="10" t="n">
        <v>0.4437</v>
      </c>
      <c r="AD108" s="10" t="n">
        <v>0.4263</v>
      </c>
      <c r="AE108" s="10" t="n">
        <v>0.75</v>
      </c>
      <c r="AF108" s="10" t="n">
        <v>0.3765</v>
      </c>
      <c r="AG108" s="12" t="n">
        <v>10.96</v>
      </c>
      <c r="AH108" s="11" t="n">
        <v>2</v>
      </c>
      <c r="AI108" s="1" t="s">
        <v>87</v>
      </c>
      <c r="AJ108" s="12" t="n">
        <v>5.72</v>
      </c>
      <c r="AK108" s="12" t="n">
        <v>5.85</v>
      </c>
      <c r="AL108" s="12" t="n">
        <v>6.27</v>
      </c>
      <c r="AM108" s="13" t="n">
        <v>-17.3094026980194</v>
      </c>
      <c r="AN108" s="11" t="n">
        <v>93</v>
      </c>
      <c r="AO108" s="11" t="n">
        <v>12</v>
      </c>
      <c r="AP108" s="14" t="s">
        <v>88</v>
      </c>
      <c r="AQ108" s="13" t="n">
        <v>-12.1165818886136</v>
      </c>
      <c r="AR108" s="11" t="n">
        <v>95</v>
      </c>
      <c r="AS108" s="13" t="n">
        <v>-0.176992385265135</v>
      </c>
      <c r="AT108" s="13" t="n">
        <v>-12.2935742738787</v>
      </c>
      <c r="AU108" s="11" t="n">
        <v>96</v>
      </c>
      <c r="AV108" s="10"/>
      <c r="AW108" s="14" t="s">
        <v>89</v>
      </c>
      <c r="AX108" s="14" t="s">
        <v>90</v>
      </c>
      <c r="AY108" s="10" t="n">
        <v>-8.87181682402125</v>
      </c>
      <c r="AZ108" s="10" t="n">
        <v>91.1281831759788</v>
      </c>
      <c r="BA108" s="11" t="n">
        <v>99</v>
      </c>
      <c r="BB108" s="14" t="s">
        <v>91</v>
      </c>
      <c r="BC108" s="10"/>
      <c r="BD108" s="11"/>
      <c r="BE108" s="14" t="s">
        <v>92</v>
      </c>
      <c r="BF108" s="10" t="n">
        <v>0.00799671839348462</v>
      </c>
      <c r="BG108" s="11" t="n">
        <v>113</v>
      </c>
      <c r="BH108" s="11" t="n">
        <v>12</v>
      </c>
      <c r="BI108" s="11" t="n">
        <v>10</v>
      </c>
      <c r="BJ108" s="11" t="n">
        <v>1</v>
      </c>
      <c r="BK108" s="10"/>
      <c r="BL108" s="14" t="s">
        <v>93</v>
      </c>
      <c r="BM108" s="15" t="n">
        <f aca="false">(F108-'Ensemble Parameters'!$B$20)/'Ensemble Parameters'!$C$20</f>
        <v>-0.563047735972658</v>
      </c>
      <c r="BN108" s="15" t="n">
        <f aca="false">(L108-'Ensemble Parameters'!$B$21)/'Ensemble Parameters'!$C$21</f>
        <v>-0.820336152573437</v>
      </c>
      <c r="BO108" s="15" t="n">
        <f aca="false">(S108-'Ensemble Parameters'!$B$22)/'Ensemble Parameters'!$C$22</f>
        <v>-0.691351731333459</v>
      </c>
      <c r="BP108" s="15" t="n">
        <f aca="false">(W108-'Ensemble Parameters'!$B$23)/'Ensemble Parameters'!$C$23</f>
        <v>-0.676654225351388</v>
      </c>
      <c r="BQ108" s="15" t="n">
        <f aca="false">AVERAGE(BO108:BP108)</f>
        <v>-0.684002978342423</v>
      </c>
      <c r="BR108" s="15" t="n">
        <f aca="false">(AQ108-'Ensemble Parameters'!$B$24)/'Ensemble Parameters'!$C$24</f>
        <v>-0.798298669363989</v>
      </c>
      <c r="BS108" s="15" t="n">
        <f aca="false">BM108*'Ensemble Parameters'!$B$5+BN108*'Ensemble Parameters'!$B$6+BQ108*'Ensemble Parameters'!$B$8+BR108*'Ensemble Parameters'!$B$7</f>
        <v>-0.716421384063127</v>
      </c>
      <c r="BT108" s="16" t="n">
        <f aca="false">'Ensemble Parameters'!$B$11+'Ensemble Parameters'!$B$12*BS108</f>
        <v>92.8357861593687</v>
      </c>
      <c r="BU108" s="17" t="n">
        <f aca="false">'Ensemble Parameters'!$B$13*BS108</f>
        <v>-10.0298993768838</v>
      </c>
      <c r="BV108" s="18" t="n">
        <f aca="false">RANK(BT108,$BT$5:$BT$125,0)</f>
        <v>91</v>
      </c>
      <c r="BW108" s="15" t="n">
        <f aca="false">STDEV(BM108,BN108,BQ108,BR108)</f>
        <v>0.118429441610946</v>
      </c>
      <c r="BX108" s="19" t="str">
        <f aca="false">IF(BW108&lt;'Ensemble Parameters'!$B$14,"High",IF(BW108&lt;'Ensemble Parameters'!$B$15,"Moderate","Low"))</f>
        <v>High</v>
      </c>
      <c r="BY108" s="19" t="str">
        <f aca="false">IF(BX108="Low","REVIEW — MODEL DISAGREEMENT","")</f>
        <v/>
      </c>
      <c r="BZ108" s="20" t="n">
        <v>4</v>
      </c>
    </row>
    <row r="109" customFormat="false" ht="15" hidden="false" customHeight="true" outlineLevel="0" collapsed="false">
      <c r="A109" s="7" t="s">
        <v>289</v>
      </c>
      <c r="B109" s="7" t="s">
        <v>304</v>
      </c>
      <c r="C109" s="7" t="s">
        <v>305</v>
      </c>
      <c r="D109" s="7" t="n">
        <v>75</v>
      </c>
      <c r="E109" s="7" t="s">
        <v>305</v>
      </c>
      <c r="F109" s="8" t="n">
        <v>23.235750233</v>
      </c>
      <c r="G109" s="9" t="n">
        <v>68</v>
      </c>
      <c r="H109" s="8" t="n">
        <v>4.16806992439864</v>
      </c>
      <c r="I109" s="8" t="n">
        <v>10.7315404598041</v>
      </c>
      <c r="J109" s="7" t="s">
        <v>83</v>
      </c>
      <c r="K109" s="7" t="s">
        <v>84</v>
      </c>
      <c r="L109" s="8" t="n">
        <v>-7.0952211330619</v>
      </c>
      <c r="M109" s="8" t="n">
        <v>92.9047788669381</v>
      </c>
      <c r="N109" s="9" t="n">
        <v>89</v>
      </c>
      <c r="O109" s="8" t="n">
        <v>0.399628571428572</v>
      </c>
      <c r="P109" s="8" t="n">
        <v>-1.60594285714286</v>
      </c>
      <c r="Q109" s="7" t="s">
        <v>85</v>
      </c>
      <c r="R109" s="1" t="s">
        <v>86</v>
      </c>
      <c r="S109" s="10" t="n">
        <v>0.326927</v>
      </c>
      <c r="T109" s="11" t="n">
        <v>107</v>
      </c>
      <c r="U109" s="10" t="n">
        <v>0.33152</v>
      </c>
      <c r="V109" s="11" t="n">
        <v>106</v>
      </c>
      <c r="W109" s="10" t="n">
        <v>0.345445</v>
      </c>
      <c r="X109" s="11" t="n">
        <v>108</v>
      </c>
      <c r="Y109" s="10" t="n">
        <v>0.348392114795</v>
      </c>
      <c r="Z109" s="11" t="n">
        <v>106</v>
      </c>
      <c r="AA109" s="10" t="n">
        <v>0.2315</v>
      </c>
      <c r="AB109" s="10" t="n">
        <v>0.3676</v>
      </c>
      <c r="AC109" s="10" t="n">
        <v>0.4524</v>
      </c>
      <c r="AD109" s="10" t="n">
        <v>0.403</v>
      </c>
      <c r="AE109" s="10" t="n">
        <v>0.375</v>
      </c>
      <c r="AF109" s="10" t="n">
        <v>0.3786</v>
      </c>
      <c r="AG109" s="12" t="n">
        <v>12.52</v>
      </c>
      <c r="AH109" s="11" t="n">
        <v>-1</v>
      </c>
      <c r="AI109" s="1" t="s">
        <v>87</v>
      </c>
      <c r="AJ109" s="12" t="n">
        <v>5.05</v>
      </c>
      <c r="AK109" s="12" t="n">
        <v>5.03</v>
      </c>
      <c r="AL109" s="12" t="n">
        <v>4.28</v>
      </c>
      <c r="AM109" s="13" t="n">
        <v>-10.0984430054881</v>
      </c>
      <c r="AN109" s="11" t="n">
        <v>72</v>
      </c>
      <c r="AO109" s="11" t="n">
        <v>12</v>
      </c>
      <c r="AP109" s="14" t="s">
        <v>88</v>
      </c>
      <c r="AQ109" s="13" t="n">
        <v>-7.06891010384164</v>
      </c>
      <c r="AR109" s="11" t="n">
        <v>74</v>
      </c>
      <c r="AS109" s="13" t="n">
        <v>-1.5873244161269</v>
      </c>
      <c r="AT109" s="13" t="n">
        <v>-8.65623451996854</v>
      </c>
      <c r="AU109" s="11" t="n">
        <v>84</v>
      </c>
      <c r="AV109" s="10"/>
      <c r="AW109" s="14" t="s">
        <v>89</v>
      </c>
      <c r="AX109" s="14" t="s">
        <v>90</v>
      </c>
      <c r="AY109" s="10" t="n">
        <v>-8.12416658760735</v>
      </c>
      <c r="AZ109" s="10" t="n">
        <v>91.8758334123927</v>
      </c>
      <c r="BA109" s="11" t="n">
        <v>93</v>
      </c>
      <c r="BB109" s="14" t="s">
        <v>91</v>
      </c>
      <c r="BC109" s="10"/>
      <c r="BD109" s="11"/>
      <c r="BE109" s="14" t="s">
        <v>92</v>
      </c>
      <c r="BF109" s="10" t="n">
        <v>0.0079878369875719</v>
      </c>
      <c r="BG109" s="11" t="n">
        <v>114</v>
      </c>
      <c r="BH109" s="11" t="n">
        <v>12</v>
      </c>
      <c r="BI109" s="11" t="n">
        <v>10</v>
      </c>
      <c r="BJ109" s="11" t="n">
        <v>1</v>
      </c>
      <c r="BK109" s="10"/>
      <c r="BL109" s="14" t="s">
        <v>93</v>
      </c>
      <c r="BM109" s="15" t="n">
        <f aca="false">(F109-'Ensemble Parameters'!$B$20)/'Ensemble Parameters'!$C$20</f>
        <v>-0.438987342397421</v>
      </c>
      <c r="BN109" s="15" t="n">
        <f aca="false">(L109-'Ensemble Parameters'!$B$21)/'Ensemble Parameters'!$C$21</f>
        <v>-0.743727744249234</v>
      </c>
      <c r="BO109" s="15" t="n">
        <f aca="false">(S109-'Ensemble Parameters'!$B$22)/'Ensemble Parameters'!$C$22</f>
        <v>-1.05301154890793</v>
      </c>
      <c r="BP109" s="15" t="n">
        <f aca="false">(W109-'Ensemble Parameters'!$B$23)/'Ensemble Parameters'!$C$23</f>
        <v>-1.12147453035493</v>
      </c>
      <c r="BQ109" s="15" t="n">
        <f aca="false">AVERAGE(BO109:BP109)</f>
        <v>-1.08724303963143</v>
      </c>
      <c r="BR109" s="15" t="n">
        <f aca="false">(AQ109-'Ensemble Parameters'!$B$24)/'Ensemble Parameters'!$C$24</f>
        <v>-0.463367871645037</v>
      </c>
      <c r="BS109" s="15" t="n">
        <f aca="false">BM109*'Ensemble Parameters'!$B$5+BN109*'Ensemble Parameters'!$B$6+BQ109*'Ensemble Parameters'!$B$8+BR109*'Ensemble Parameters'!$B$7</f>
        <v>-0.683331499480781</v>
      </c>
      <c r="BT109" s="16" t="n">
        <f aca="false">'Ensemble Parameters'!$B$11+'Ensemble Parameters'!$B$12*BS109</f>
        <v>93.1666850051922</v>
      </c>
      <c r="BU109" s="17" t="n">
        <f aca="false">'Ensemble Parameters'!$B$13*BS109</f>
        <v>-9.56664099273093</v>
      </c>
      <c r="BV109" s="18" t="n">
        <f aca="false">RANK(BT109,$BT$5:$BT$125,0)</f>
        <v>86</v>
      </c>
      <c r="BW109" s="15" t="n">
        <f aca="false">STDEV(BM109,BN109,BQ109,BR109)</f>
        <v>0.302699137384763</v>
      </c>
      <c r="BX109" s="19" t="str">
        <f aca="false">IF(BW109&lt;'Ensemble Parameters'!$B$14,"High",IF(BW109&lt;'Ensemble Parameters'!$B$15,"Moderate","Low"))</f>
        <v>Moderate</v>
      </c>
      <c r="BY109" s="19" t="str">
        <f aca="false">IF(BX109="Low","REVIEW — MODEL DISAGREEMENT","")</f>
        <v/>
      </c>
      <c r="BZ109" s="20" t="n">
        <v>4</v>
      </c>
    </row>
    <row r="110" customFormat="false" ht="15" hidden="false" customHeight="true" outlineLevel="0" collapsed="false">
      <c r="A110" s="7" t="s">
        <v>306</v>
      </c>
      <c r="B110" s="7" t="s">
        <v>307</v>
      </c>
      <c r="C110" s="7" t="s">
        <v>308</v>
      </c>
      <c r="D110" s="7" t="n">
        <v>1</v>
      </c>
      <c r="E110" s="7" t="s">
        <v>308</v>
      </c>
      <c r="F110" s="8" t="n">
        <v>33.540728847</v>
      </c>
      <c r="G110" s="9" t="n">
        <v>7</v>
      </c>
      <c r="H110" s="8" t="n">
        <v>4.13559856750672</v>
      </c>
      <c r="I110" s="8" t="n">
        <v>21.1339331444799</v>
      </c>
      <c r="J110" s="7" t="s">
        <v>83</v>
      </c>
      <c r="K110" s="7" t="s">
        <v>84</v>
      </c>
      <c r="L110" s="8" t="n">
        <v>20.4213975991705</v>
      </c>
      <c r="M110" s="8" t="n">
        <v>120.42139759917</v>
      </c>
      <c r="N110" s="9" t="n">
        <v>5</v>
      </c>
      <c r="O110" s="8" t="n">
        <v>0.648733333333333</v>
      </c>
      <c r="P110" s="8" t="n">
        <v>2.37973333333333</v>
      </c>
      <c r="Q110" s="7" t="s">
        <v>85</v>
      </c>
      <c r="R110" s="1" t="s">
        <v>86</v>
      </c>
      <c r="S110" s="10" t="n">
        <v>0.757511</v>
      </c>
      <c r="T110" s="11" t="n">
        <v>7</v>
      </c>
      <c r="U110" s="10" t="n">
        <v>0.752301</v>
      </c>
      <c r="V110" s="11" t="n">
        <v>7</v>
      </c>
      <c r="W110" s="10" t="n">
        <v>0.7368</v>
      </c>
      <c r="X110" s="11" t="n">
        <v>9</v>
      </c>
      <c r="Y110" s="10" t="n">
        <v>0.7334311069</v>
      </c>
      <c r="Z110" s="11" t="n">
        <v>7</v>
      </c>
      <c r="AA110" s="10" t="n">
        <v>0.9003</v>
      </c>
      <c r="AB110" s="10" t="n">
        <v>0.4346</v>
      </c>
      <c r="AC110" s="10" t="n">
        <v>0.5611</v>
      </c>
      <c r="AD110" s="10" t="n">
        <v>0.945</v>
      </c>
      <c r="AE110" s="10" t="n">
        <v>1</v>
      </c>
      <c r="AF110" s="10" t="n">
        <v>0.6989</v>
      </c>
      <c r="AG110" s="12" t="n">
        <v>40.76</v>
      </c>
      <c r="AH110" s="11" t="n">
        <v>0</v>
      </c>
      <c r="AI110" s="1" t="s">
        <v>87</v>
      </c>
      <c r="AJ110" s="12" t="n">
        <v>9.38</v>
      </c>
      <c r="AK110" s="12" t="n">
        <v>9.1</v>
      </c>
      <c r="AL110" s="12" t="n">
        <v>8.46</v>
      </c>
      <c r="AM110" s="13" t="n">
        <v>47.9762210921492</v>
      </c>
      <c r="AN110" s="11" t="n">
        <v>6</v>
      </c>
      <c r="AO110" s="11" t="n">
        <v>14</v>
      </c>
      <c r="AP110" s="14" t="s">
        <v>88</v>
      </c>
      <c r="AQ110" s="13" t="n">
        <v>33.5833547645044</v>
      </c>
      <c r="AR110" s="11" t="n">
        <v>6</v>
      </c>
      <c r="AS110" s="13" t="n">
        <v>-0.321169214111899</v>
      </c>
      <c r="AT110" s="13" t="n">
        <v>33.2621855503925</v>
      </c>
      <c r="AU110" s="11" t="n">
        <v>6</v>
      </c>
      <c r="AV110" s="10"/>
      <c r="AW110" s="14" t="s">
        <v>89</v>
      </c>
      <c r="AX110" s="14" t="s">
        <v>90</v>
      </c>
      <c r="AY110" s="10" t="n">
        <v>21.954852144625</v>
      </c>
      <c r="AZ110" s="10" t="n">
        <v>121.954852144625</v>
      </c>
      <c r="BA110" s="11" t="n">
        <v>6</v>
      </c>
      <c r="BB110" s="14" t="s">
        <v>91</v>
      </c>
      <c r="BC110" s="10"/>
      <c r="BD110" s="11"/>
      <c r="BE110" s="14" t="s">
        <v>92</v>
      </c>
      <c r="BF110" s="10" t="n">
        <v>0.00824645040284378</v>
      </c>
      <c r="BG110" s="11" t="n">
        <v>109</v>
      </c>
      <c r="BH110" s="11" t="n">
        <v>12</v>
      </c>
      <c r="BI110" s="11" t="n">
        <v>12</v>
      </c>
      <c r="BJ110" s="11" t="n">
        <v>0</v>
      </c>
      <c r="BK110" s="10"/>
      <c r="BL110" s="14" t="s">
        <v>93</v>
      </c>
      <c r="BM110" s="15" t="n">
        <f aca="false">(F110-'Ensemble Parameters'!$B$20)/'Ensemble Parameters'!$C$20</f>
        <v>1.92492569943729</v>
      </c>
      <c r="BN110" s="15" t="n">
        <f aca="false">(L110-'Ensemble Parameters'!$B$21)/'Ensemble Parameters'!$C$21</f>
        <v>2.14059007971941</v>
      </c>
      <c r="BO110" s="15" t="n">
        <f aca="false">(S110-'Ensemble Parameters'!$B$22)/'Ensemble Parameters'!$C$22</f>
        <v>1.9497252068524</v>
      </c>
      <c r="BP110" s="15" t="n">
        <f aca="false">(W110-'Ensemble Parameters'!$B$23)/'Ensemble Parameters'!$C$23</f>
        <v>1.94498047166483</v>
      </c>
      <c r="BQ110" s="15" t="n">
        <f aca="false">AVERAGE(BO110:BP110)</f>
        <v>1.94735283925861</v>
      </c>
      <c r="BR110" s="15" t="n">
        <f aca="false">(AQ110-'Ensemble Parameters'!$B$24)/'Ensemble Parameters'!$C$24</f>
        <v>2.23405305467463</v>
      </c>
      <c r="BS110" s="15" t="n">
        <f aca="false">BM110*'Ensemble Parameters'!$B$5+BN110*'Ensemble Parameters'!$B$6+BQ110*'Ensemble Parameters'!$B$8+BR110*'Ensemble Parameters'!$B$7</f>
        <v>2.06173041827249</v>
      </c>
      <c r="BT110" s="16" t="n">
        <f aca="false">'Ensemble Parameters'!$B$11+'Ensemble Parameters'!$B$12*BS110</f>
        <v>120.617304182725</v>
      </c>
      <c r="BU110" s="17" t="n">
        <f aca="false">'Ensemble Parameters'!$B$13*BS110</f>
        <v>28.8642258558148</v>
      </c>
      <c r="BV110" s="18" t="n">
        <f aca="false">RANK(BT110,$BT$5:$BT$125,0)</f>
        <v>6</v>
      </c>
      <c r="BW110" s="15" t="n">
        <f aca="false">STDEV(BM110,BN110,BQ110,BR110)</f>
        <v>0.150235036855323</v>
      </c>
      <c r="BX110" s="19" t="str">
        <f aca="false">IF(BW110&lt;'Ensemble Parameters'!$B$14,"High",IF(BW110&lt;'Ensemble Parameters'!$B$15,"Moderate","Low"))</f>
        <v>High</v>
      </c>
      <c r="BY110" s="19" t="str">
        <f aca="false">IF(BX110="Low","REVIEW — MODEL DISAGREEMENT","")</f>
        <v/>
      </c>
      <c r="BZ110" s="20" t="n">
        <v>4</v>
      </c>
    </row>
    <row r="111" customFormat="false" ht="15" hidden="false" customHeight="true" outlineLevel="0" collapsed="false">
      <c r="A111" s="7" t="s">
        <v>306</v>
      </c>
      <c r="B111" s="7" t="s">
        <v>309</v>
      </c>
      <c r="C111" s="7" t="s">
        <v>310</v>
      </c>
      <c r="D111" s="7" t="n">
        <v>2</v>
      </c>
      <c r="E111" s="7" t="s">
        <v>310</v>
      </c>
      <c r="F111" s="8" t="n">
        <v>20.195475394</v>
      </c>
      <c r="G111" s="9" t="n">
        <v>115</v>
      </c>
      <c r="H111" s="8" t="n">
        <v>4.49627722185902</v>
      </c>
      <c r="I111" s="8" t="n">
        <v>6.70664372842294</v>
      </c>
      <c r="J111" s="7" t="s">
        <v>83</v>
      </c>
      <c r="K111" s="7" t="s">
        <v>84</v>
      </c>
      <c r="L111" s="8" t="n">
        <v>-2.52151551035343</v>
      </c>
      <c r="M111" s="8" t="n">
        <v>97.4784844896466</v>
      </c>
      <c r="N111" s="9" t="n">
        <v>55</v>
      </c>
      <c r="O111" s="8" t="n">
        <v>0.531419047619048</v>
      </c>
      <c r="P111" s="8" t="n">
        <v>0.502704761904763</v>
      </c>
      <c r="Q111" s="7" t="s">
        <v>85</v>
      </c>
      <c r="R111" s="1" t="s">
        <v>86</v>
      </c>
      <c r="S111" s="10" t="n">
        <v>0.400333</v>
      </c>
      <c r="T111" s="11" t="n">
        <v>82</v>
      </c>
      <c r="U111" s="10" t="n">
        <v>0.39937</v>
      </c>
      <c r="V111" s="11" t="n">
        <v>73</v>
      </c>
      <c r="W111" s="10" t="n">
        <v>0.418945</v>
      </c>
      <c r="X111" s="11" t="n">
        <v>80</v>
      </c>
      <c r="Y111" s="10" t="n">
        <v>0.416327663395</v>
      </c>
      <c r="Z111" s="11" t="n">
        <v>73</v>
      </c>
      <c r="AA111" s="10" t="n">
        <v>0.2283</v>
      </c>
      <c r="AB111" s="10" t="n">
        <v>0.5032</v>
      </c>
      <c r="AC111" s="10" t="n">
        <v>0.5192</v>
      </c>
      <c r="AD111" s="10" t="n">
        <v>0.761</v>
      </c>
      <c r="AE111" s="10" t="n">
        <v>0.325</v>
      </c>
      <c r="AF111" s="10" t="n">
        <v>0.3895</v>
      </c>
      <c r="AG111" s="12" t="n">
        <v>27.95</v>
      </c>
      <c r="AH111" s="11" t="n">
        <v>-9</v>
      </c>
      <c r="AI111" s="1" t="s">
        <v>87</v>
      </c>
      <c r="AJ111" s="12" t="n">
        <v>4.07</v>
      </c>
      <c r="AK111" s="12" t="n">
        <v>4.19</v>
      </c>
      <c r="AL111" s="12" t="n">
        <v>3.67</v>
      </c>
      <c r="AM111" s="13" t="n">
        <v>-4.68778722482839</v>
      </c>
      <c r="AN111" s="11" t="n">
        <v>50</v>
      </c>
      <c r="AO111" s="11" t="n">
        <v>12</v>
      </c>
      <c r="AP111" s="14" t="s">
        <v>88</v>
      </c>
      <c r="AQ111" s="13" t="n">
        <v>-3.28145105737987</v>
      </c>
      <c r="AR111" s="11" t="n">
        <v>50</v>
      </c>
      <c r="AS111" s="13" t="n">
        <v>0.185724208355092</v>
      </c>
      <c r="AT111" s="13" t="n">
        <v>-3.09572684902478</v>
      </c>
      <c r="AU111" s="11" t="n">
        <v>50</v>
      </c>
      <c r="AV111" s="10"/>
      <c r="AW111" s="14" t="s">
        <v>89</v>
      </c>
      <c r="AX111" s="14" t="s">
        <v>90</v>
      </c>
      <c r="AY111" s="10" t="n">
        <v>-3.46326096489888</v>
      </c>
      <c r="AZ111" s="10" t="n">
        <v>96.5367390351011</v>
      </c>
      <c r="BA111" s="11" t="n">
        <v>65</v>
      </c>
      <c r="BB111" s="14" t="s">
        <v>91</v>
      </c>
      <c r="BC111" s="10"/>
      <c r="BD111" s="11"/>
      <c r="BE111" s="14" t="s">
        <v>92</v>
      </c>
      <c r="BF111" s="10" t="n">
        <v>0.00884645688893483</v>
      </c>
      <c r="BG111" s="11" t="n">
        <v>3</v>
      </c>
      <c r="BH111" s="11" t="n">
        <v>13</v>
      </c>
      <c r="BI111" s="11" t="n">
        <v>13</v>
      </c>
      <c r="BJ111" s="11" t="n">
        <v>0</v>
      </c>
      <c r="BK111" s="10"/>
      <c r="BL111" s="14" t="s">
        <v>93</v>
      </c>
      <c r="BM111" s="15" t="n">
        <f aca="false">(F111-'Ensemble Parameters'!$B$20)/'Ensemble Parameters'!$C$20</f>
        <v>-1.13641191860276</v>
      </c>
      <c r="BN111" s="15" t="n">
        <f aca="false">(L111-'Ensemble Parameters'!$B$21)/'Ensemble Parameters'!$C$21</f>
        <v>-0.264307624446841</v>
      </c>
      <c r="BO111" s="15" t="n">
        <f aca="false">(S111-'Ensemble Parameters'!$B$22)/'Ensemble Parameters'!$C$22</f>
        <v>-0.541104710071972</v>
      </c>
      <c r="BP111" s="15" t="n">
        <f aca="false">(W111-'Ensemble Parameters'!$B$23)/'Ensemble Parameters'!$C$23</f>
        <v>-0.545566613889184</v>
      </c>
      <c r="BQ111" s="15" t="n">
        <f aca="false">AVERAGE(BO111:BP111)</f>
        <v>-0.543335661980578</v>
      </c>
      <c r="BR111" s="15" t="n">
        <f aca="false">(AQ111-'Ensemble Parameters'!$B$24)/'Ensemble Parameters'!$C$24</f>
        <v>-0.212056626808105</v>
      </c>
      <c r="BS111" s="15" t="n">
        <f aca="false">BM111*'Ensemble Parameters'!$B$5+BN111*'Ensemble Parameters'!$B$6+BQ111*'Ensemble Parameters'!$B$8+BR111*'Ensemble Parameters'!$B$7</f>
        <v>-0.539027957959571</v>
      </c>
      <c r="BT111" s="16" t="n">
        <f aca="false">'Ensemble Parameters'!$B$11+'Ensemble Parameters'!$B$12*BS111</f>
        <v>94.6097204204043</v>
      </c>
      <c r="BU111" s="17" t="n">
        <f aca="false">'Ensemble Parameters'!$B$13*BS111</f>
        <v>-7.546391411434</v>
      </c>
      <c r="BV111" s="18" t="n">
        <f aca="false">RANK(BT111,$BT$5:$BT$125,0)</f>
        <v>75</v>
      </c>
      <c r="BW111" s="15" t="n">
        <f aca="false">STDEV(BM111,BN111,BQ111,BR111)</f>
        <v>0.423976283058375</v>
      </c>
      <c r="BX111" s="19" t="str">
        <f aca="false">IF(BW111&lt;'Ensemble Parameters'!$B$14,"High",IF(BW111&lt;'Ensemble Parameters'!$B$15,"Moderate","Low"))</f>
        <v>Moderate</v>
      </c>
      <c r="BY111" s="19" t="str">
        <f aca="false">IF(BX111="Low","REVIEW — MODEL DISAGREEMENT","")</f>
        <v/>
      </c>
      <c r="BZ111" s="20" t="n">
        <v>4</v>
      </c>
    </row>
    <row r="112" customFormat="false" ht="15" hidden="false" customHeight="true" outlineLevel="0" collapsed="false">
      <c r="A112" s="7" t="s">
        <v>306</v>
      </c>
      <c r="B112" s="7" t="s">
        <v>311</v>
      </c>
      <c r="C112" s="7" t="s">
        <v>312</v>
      </c>
      <c r="D112" s="7" t="n">
        <v>3</v>
      </c>
      <c r="E112" s="7" t="s">
        <v>312</v>
      </c>
      <c r="F112" s="8" t="n">
        <v>22.487865508</v>
      </c>
      <c r="G112" s="9" t="n">
        <v>81</v>
      </c>
      <c r="H112" s="8" t="n">
        <v>4.29459932044799</v>
      </c>
      <c r="I112" s="8" t="n">
        <v>9.60406754665604</v>
      </c>
      <c r="J112" s="7" t="s">
        <v>83</v>
      </c>
      <c r="K112" s="7" t="s">
        <v>84</v>
      </c>
      <c r="L112" s="8" t="n">
        <v>-1.52276349269324</v>
      </c>
      <c r="M112" s="8" t="n">
        <v>98.4772365073068</v>
      </c>
      <c r="N112" s="9" t="n">
        <v>49</v>
      </c>
      <c r="O112" s="8" t="n">
        <v>0.578695238095238</v>
      </c>
      <c r="P112" s="8" t="n">
        <v>1.25912380952381</v>
      </c>
      <c r="Q112" s="7" t="s">
        <v>85</v>
      </c>
      <c r="R112" s="1" t="s">
        <v>86</v>
      </c>
      <c r="S112" s="10" t="n">
        <v>0.448148</v>
      </c>
      <c r="T112" s="11" t="n">
        <v>56</v>
      </c>
      <c r="U112" s="10" t="n">
        <v>0.454846</v>
      </c>
      <c r="V112" s="11" t="n">
        <v>49</v>
      </c>
      <c r="W112" s="10" t="n">
        <v>0.47075</v>
      </c>
      <c r="X112" s="11" t="n">
        <v>57</v>
      </c>
      <c r="Y112" s="10" t="n">
        <v>0.47543889475</v>
      </c>
      <c r="Z112" s="11" t="n">
        <v>49</v>
      </c>
      <c r="AA112" s="10" t="n">
        <v>0.2768</v>
      </c>
      <c r="AB112" s="10" t="n">
        <v>0.4866</v>
      </c>
      <c r="AC112" s="10" t="n">
        <v>0.5818</v>
      </c>
      <c r="AD112" s="10" t="n">
        <v>0.836</v>
      </c>
      <c r="AE112" s="10" t="n">
        <v>0.475</v>
      </c>
      <c r="AF112" s="10" t="n">
        <v>0.5235</v>
      </c>
      <c r="AG112" s="12" t="n">
        <v>48</v>
      </c>
      <c r="AH112" s="11" t="n">
        <v>-7</v>
      </c>
      <c r="AI112" s="1" t="s">
        <v>87</v>
      </c>
      <c r="AJ112" s="12" t="n">
        <v>4.85</v>
      </c>
      <c r="AK112" s="12" t="n">
        <v>5.02</v>
      </c>
      <c r="AL112" s="12" t="n">
        <v>4.9</v>
      </c>
      <c r="AM112" s="13" t="n">
        <v>-5.51165834331361</v>
      </c>
      <c r="AN112" s="11" t="n">
        <v>52</v>
      </c>
      <c r="AO112" s="11" t="n">
        <v>12</v>
      </c>
      <c r="AP112" s="14" t="s">
        <v>88</v>
      </c>
      <c r="AQ112" s="13" t="n">
        <v>-3.85816084031952</v>
      </c>
      <c r="AR112" s="11" t="n">
        <v>52</v>
      </c>
      <c r="AS112" s="13" t="n">
        <v>0.83046510967644</v>
      </c>
      <c r="AT112" s="13" t="n">
        <v>-3.02769573064309</v>
      </c>
      <c r="AU112" s="11" t="n">
        <v>49</v>
      </c>
      <c r="AV112" s="10"/>
      <c r="AW112" s="14" t="s">
        <v>89</v>
      </c>
      <c r="AX112" s="14" t="s">
        <v>90</v>
      </c>
      <c r="AY112" s="10" t="n">
        <v>-1.39250894723869</v>
      </c>
      <c r="AZ112" s="10" t="n">
        <v>98.6074910527613</v>
      </c>
      <c r="BA112" s="11" t="n">
        <v>46</v>
      </c>
      <c r="BB112" s="14" t="s">
        <v>91</v>
      </c>
      <c r="BC112" s="10"/>
      <c r="BD112" s="11"/>
      <c r="BE112" s="14" t="s">
        <v>92</v>
      </c>
      <c r="BF112" s="10" t="n">
        <v>0.00824905418336351</v>
      </c>
      <c r="BG112" s="11" t="n">
        <v>106</v>
      </c>
      <c r="BH112" s="11" t="n">
        <v>12</v>
      </c>
      <c r="BI112" s="11" t="n">
        <v>12</v>
      </c>
      <c r="BJ112" s="11" t="n">
        <v>0</v>
      </c>
      <c r="BK112" s="10"/>
      <c r="BL112" s="14" t="s">
        <v>93</v>
      </c>
      <c r="BM112" s="15" t="n">
        <f aca="false">(F112-'Ensemble Parameters'!$B$20)/'Ensemble Parameters'!$C$20</f>
        <v>-0.610548538343487</v>
      </c>
      <c r="BN112" s="15" t="n">
        <f aca="false">(L112-'Ensemble Parameters'!$B$21)/'Ensemble Parameters'!$C$21</f>
        <v>-0.15961749975185</v>
      </c>
      <c r="BO112" s="15" t="n">
        <f aca="false">(S112-'Ensemble Parameters'!$B$22)/'Ensemble Parameters'!$C$22</f>
        <v>-0.207660230071136</v>
      </c>
      <c r="BP112" s="15" t="n">
        <f aca="false">(W112-'Ensemble Parameters'!$B$23)/'Ensemble Parameters'!$C$23</f>
        <v>-0.139649476304041</v>
      </c>
      <c r="BQ112" s="15" t="n">
        <f aca="false">AVERAGE(BO112:BP112)</f>
        <v>-0.173654853187589</v>
      </c>
      <c r="BR112" s="15" t="n">
        <f aca="false">(AQ112-'Ensemble Parameters'!$B$24)/'Ensemble Parameters'!$C$24</f>
        <v>-0.250323351723744</v>
      </c>
      <c r="BS112" s="15" t="n">
        <f aca="false">BM112*'Ensemble Parameters'!$B$5+BN112*'Ensemble Parameters'!$B$6+BQ112*'Ensemble Parameters'!$B$8+BR112*'Ensemble Parameters'!$B$7</f>
        <v>-0.298536060751668</v>
      </c>
      <c r="BT112" s="16" t="n">
        <f aca="false">'Ensemble Parameters'!$B$11+'Ensemble Parameters'!$B$12*BS112</f>
        <v>97.0146393924833</v>
      </c>
      <c r="BU112" s="17" t="n">
        <f aca="false">'Ensemble Parameters'!$B$13*BS112</f>
        <v>-4.17950485052335</v>
      </c>
      <c r="BV112" s="18" t="n">
        <f aca="false">RANK(BT112,$BT$5:$BT$125,0)</f>
        <v>58</v>
      </c>
      <c r="BW112" s="15" t="n">
        <f aca="false">STDEV(BM112,BN112,BQ112,BR112)</f>
        <v>0.211793873123311</v>
      </c>
      <c r="BX112" s="19" t="str">
        <f aca="false">IF(BW112&lt;'Ensemble Parameters'!$B$14,"High",IF(BW112&lt;'Ensemble Parameters'!$B$15,"Moderate","Low"))</f>
        <v>High</v>
      </c>
      <c r="BY112" s="19" t="str">
        <f aca="false">IF(BX112="Low","REVIEW — MODEL DISAGREEMENT","")</f>
        <v/>
      </c>
      <c r="BZ112" s="20" t="n">
        <v>4</v>
      </c>
    </row>
    <row r="113" customFormat="false" ht="15" hidden="false" customHeight="true" outlineLevel="0" collapsed="false">
      <c r="A113" s="7" t="s">
        <v>306</v>
      </c>
      <c r="B113" s="7" t="s">
        <v>313</v>
      </c>
      <c r="C113" s="7" t="s">
        <v>314</v>
      </c>
      <c r="D113" s="7" t="n">
        <v>4</v>
      </c>
      <c r="E113" s="7" t="s">
        <v>314</v>
      </c>
      <c r="F113" s="8" t="n">
        <v>21.626915894</v>
      </c>
      <c r="G113" s="9" t="n">
        <v>97</v>
      </c>
      <c r="H113" s="8" t="n">
        <v>4.22564357225399</v>
      </c>
      <c r="I113" s="8" t="n">
        <v>8.94998517723802</v>
      </c>
      <c r="J113" s="7" t="s">
        <v>83</v>
      </c>
      <c r="K113" s="7" t="s">
        <v>84</v>
      </c>
      <c r="L113" s="8" t="n">
        <v>-3.20408274325323</v>
      </c>
      <c r="M113" s="8" t="n">
        <v>96.7959172567468</v>
      </c>
      <c r="N113" s="9" t="n">
        <v>66</v>
      </c>
      <c r="O113" s="8" t="n">
        <v>0.569171428571429</v>
      </c>
      <c r="P113" s="8" t="n">
        <v>1.10674285714286</v>
      </c>
      <c r="Q113" s="7" t="s">
        <v>85</v>
      </c>
      <c r="R113" s="1" t="s">
        <v>86</v>
      </c>
      <c r="S113" s="10" t="n">
        <v>0.420516</v>
      </c>
      <c r="T113" s="11" t="n">
        <v>64</v>
      </c>
      <c r="U113" s="10" t="n">
        <v>0.437555</v>
      </c>
      <c r="V113" s="11" t="n">
        <v>62</v>
      </c>
      <c r="W113" s="10" t="n">
        <v>0.43883</v>
      </c>
      <c r="X113" s="11" t="n">
        <v>64</v>
      </c>
      <c r="Y113" s="10" t="n">
        <v>0.45424068593</v>
      </c>
      <c r="Z113" s="11" t="n">
        <v>62</v>
      </c>
      <c r="AA113" s="10" t="n">
        <v>0.2254</v>
      </c>
      <c r="AB113" s="10" t="n">
        <v>0.5527</v>
      </c>
      <c r="AC113" s="10" t="n">
        <v>0.53</v>
      </c>
      <c r="AD113" s="10" t="n">
        <v>0.844</v>
      </c>
      <c r="AE113" s="10" t="n">
        <v>0.325</v>
      </c>
      <c r="AF113" s="10" t="n">
        <v>0.6122</v>
      </c>
      <c r="AG113" s="12" t="n">
        <v>31.04</v>
      </c>
      <c r="AH113" s="11" t="n">
        <v>-2</v>
      </c>
      <c r="AI113" s="1" t="s">
        <v>87</v>
      </c>
      <c r="AJ113" s="12" t="n">
        <v>3.95</v>
      </c>
      <c r="AK113" s="12" t="n">
        <v>4.05</v>
      </c>
      <c r="AL113" s="12" t="n">
        <v>3.53</v>
      </c>
      <c r="AM113" s="13" t="n">
        <v>-10.8109996883012</v>
      </c>
      <c r="AN113" s="11" t="n">
        <v>76</v>
      </c>
      <c r="AO113" s="11" t="n">
        <v>12</v>
      </c>
      <c r="AP113" s="14" t="s">
        <v>88</v>
      </c>
      <c r="AQ113" s="13" t="n">
        <v>-7.56769978181085</v>
      </c>
      <c r="AR113" s="11" t="n">
        <v>78</v>
      </c>
      <c r="AS113" s="13" t="n">
        <v>0.68965869119624</v>
      </c>
      <c r="AT113" s="13" t="n">
        <v>-6.87804109061461</v>
      </c>
      <c r="AU113" s="11" t="n">
        <v>75</v>
      </c>
      <c r="AV113" s="10"/>
      <c r="AW113" s="14" t="s">
        <v>89</v>
      </c>
      <c r="AX113" s="14" t="s">
        <v>90</v>
      </c>
      <c r="AY113" s="10" t="n">
        <v>-2.36422819779868</v>
      </c>
      <c r="AZ113" s="10" t="n">
        <v>97.6357718022013</v>
      </c>
      <c r="BA113" s="11" t="n">
        <v>57</v>
      </c>
      <c r="BB113" s="14" t="s">
        <v>91</v>
      </c>
      <c r="BC113" s="10"/>
      <c r="BD113" s="11"/>
      <c r="BE113" s="14" t="s">
        <v>92</v>
      </c>
      <c r="BF113" s="10" t="n">
        <v>0.00824859359455978</v>
      </c>
      <c r="BG113" s="11" t="n">
        <v>107</v>
      </c>
      <c r="BH113" s="11" t="n">
        <v>12</v>
      </c>
      <c r="BI113" s="11" t="n">
        <v>12</v>
      </c>
      <c r="BJ113" s="11" t="n">
        <v>0</v>
      </c>
      <c r="BK113" s="10"/>
      <c r="BL113" s="14" t="s">
        <v>93</v>
      </c>
      <c r="BM113" s="15" t="n">
        <f aca="false">(F113-'Ensemble Parameters'!$B$20)/'Ensemble Parameters'!$C$20</f>
        <v>-0.80804628163159</v>
      </c>
      <c r="BN113" s="15" t="n">
        <f aca="false">(L113-'Ensemble Parameters'!$B$21)/'Ensemble Parameters'!$C$21</f>
        <v>-0.335854962986794</v>
      </c>
      <c r="BO113" s="15" t="n">
        <f aca="false">(S113-'Ensemble Parameters'!$B$22)/'Ensemble Parameters'!$C$22</f>
        <v>-0.400355783169182</v>
      </c>
      <c r="BP113" s="15" t="n">
        <f aca="false">(W113-'Ensemble Parameters'!$B$23)/'Ensemble Parameters'!$C$23</f>
        <v>-0.389758057169166</v>
      </c>
      <c r="BQ113" s="15" t="n">
        <f aca="false">AVERAGE(BO113:BP113)</f>
        <v>-0.395056920169174</v>
      </c>
      <c r="BR113" s="15" t="n">
        <f aca="false">(AQ113-'Ensemble Parameters'!$B$24)/'Ensemble Parameters'!$C$24</f>
        <v>-0.496464323209143</v>
      </c>
      <c r="BS113" s="15" t="n">
        <f aca="false">BM113*'Ensemble Parameters'!$B$5+BN113*'Ensemble Parameters'!$B$6+BQ113*'Ensemble Parameters'!$B$8+BR113*'Ensemble Parameters'!$B$7</f>
        <v>-0.508855621999175</v>
      </c>
      <c r="BT113" s="16" t="n">
        <f aca="false">'Ensemble Parameters'!$B$11+'Ensemble Parameters'!$B$12*BS113</f>
        <v>94.9114437800083</v>
      </c>
      <c r="BU113" s="17" t="n">
        <f aca="false">'Ensemble Parameters'!$B$13*BS113</f>
        <v>-7.12397870798845</v>
      </c>
      <c r="BV113" s="18" t="n">
        <f aca="false">RANK(BT113,$BT$5:$BT$125,0)</f>
        <v>73</v>
      </c>
      <c r="BW113" s="15" t="n">
        <f aca="false">STDEV(BM113,BN113,BQ113,BR113)</f>
        <v>0.210196707597031</v>
      </c>
      <c r="BX113" s="19" t="str">
        <f aca="false">IF(BW113&lt;'Ensemble Parameters'!$B$14,"High",IF(BW113&lt;'Ensemble Parameters'!$B$15,"Moderate","Low"))</f>
        <v>High</v>
      </c>
      <c r="BY113" s="19" t="str">
        <f aca="false">IF(BX113="Low","REVIEW — MODEL DISAGREEMENT","")</f>
        <v/>
      </c>
      <c r="BZ113" s="20" t="n">
        <v>4</v>
      </c>
    </row>
    <row r="114" customFormat="false" ht="15" hidden="false" customHeight="true" outlineLevel="0" collapsed="false">
      <c r="A114" s="7" t="s">
        <v>306</v>
      </c>
      <c r="B114" s="7" t="s">
        <v>315</v>
      </c>
      <c r="C114" s="7" t="s">
        <v>316</v>
      </c>
      <c r="D114" s="7" t="n">
        <v>5</v>
      </c>
      <c r="E114" s="7" t="s">
        <v>316</v>
      </c>
      <c r="F114" s="8" t="n">
        <v>33.701719425</v>
      </c>
      <c r="G114" s="9" t="n">
        <v>4</v>
      </c>
      <c r="H114" s="8" t="n">
        <v>4.01308008615536</v>
      </c>
      <c r="I114" s="8" t="n">
        <v>21.6624791665339</v>
      </c>
      <c r="J114" s="7" t="s">
        <v>83</v>
      </c>
      <c r="K114" s="7" t="s">
        <v>84</v>
      </c>
      <c r="L114" s="8" t="n">
        <v>21.6245414171585</v>
      </c>
      <c r="M114" s="8" t="n">
        <v>121.624541417159</v>
      </c>
      <c r="N114" s="9" t="n">
        <v>2</v>
      </c>
      <c r="O114" s="8" t="n">
        <v>0.769685714285714</v>
      </c>
      <c r="P114" s="8" t="n">
        <v>4.31497142857143</v>
      </c>
      <c r="Q114" s="7" t="s">
        <v>85</v>
      </c>
      <c r="R114" s="1" t="s">
        <v>86</v>
      </c>
      <c r="S114" s="10" t="n">
        <v>0.81799</v>
      </c>
      <c r="T114" s="11" t="n">
        <v>1</v>
      </c>
      <c r="U114" s="10" t="n">
        <v>0.815075</v>
      </c>
      <c r="V114" s="11" t="n">
        <v>1</v>
      </c>
      <c r="W114" s="10" t="n">
        <v>0.793965</v>
      </c>
      <c r="X114" s="11" t="n">
        <v>1</v>
      </c>
      <c r="Y114" s="10" t="n">
        <v>0.793185887915</v>
      </c>
      <c r="Z114" s="11" t="n">
        <v>1</v>
      </c>
      <c r="AA114" s="10" t="n">
        <v>0.8814</v>
      </c>
      <c r="AB114" s="10" t="n">
        <v>0.7425</v>
      </c>
      <c r="AC114" s="10" t="n">
        <v>0.5639</v>
      </c>
      <c r="AD114" s="10" t="n">
        <v>0.96</v>
      </c>
      <c r="AE114" s="10" t="n">
        <v>1</v>
      </c>
      <c r="AF114" s="10" t="n">
        <v>0.7852</v>
      </c>
      <c r="AG114" s="12" t="n">
        <v>41.71</v>
      </c>
      <c r="AH114" s="11" t="n">
        <v>0</v>
      </c>
      <c r="AI114" s="1" t="s">
        <v>87</v>
      </c>
      <c r="AJ114" s="12" t="n">
        <v>10.24</v>
      </c>
      <c r="AK114" s="12" t="n">
        <v>10.04</v>
      </c>
      <c r="AL114" s="12" t="n">
        <v>10.1</v>
      </c>
      <c r="AM114" s="13" t="n">
        <v>47.244740056227</v>
      </c>
      <c r="AN114" s="11" t="n">
        <v>7</v>
      </c>
      <c r="AO114" s="11" t="n">
        <v>14</v>
      </c>
      <c r="AP114" s="14" t="s">
        <v>88</v>
      </c>
      <c r="AQ114" s="13" t="n">
        <v>33.0713180393589</v>
      </c>
      <c r="AR114" s="11" t="n">
        <v>7</v>
      </c>
      <c r="AS114" s="13" t="n">
        <v>1.25343412653219</v>
      </c>
      <c r="AT114" s="13" t="n">
        <v>34.3247521658911</v>
      </c>
      <c r="AU114" s="11" t="n">
        <v>5</v>
      </c>
      <c r="AV114" s="10"/>
      <c r="AW114" s="14" t="s">
        <v>89</v>
      </c>
      <c r="AX114" s="14" t="s">
        <v>90</v>
      </c>
      <c r="AY114" s="10" t="n">
        <v>23.848395962613</v>
      </c>
      <c r="AZ114" s="10" t="n">
        <v>123.848395962613</v>
      </c>
      <c r="BA114" s="11" t="n">
        <v>3</v>
      </c>
      <c r="BB114" s="14" t="s">
        <v>91</v>
      </c>
      <c r="BC114" s="10"/>
      <c r="BD114" s="11"/>
      <c r="BE114" s="14" t="s">
        <v>92</v>
      </c>
      <c r="BF114" s="10" t="n">
        <v>0.00824575438814914</v>
      </c>
      <c r="BG114" s="11" t="n">
        <v>110</v>
      </c>
      <c r="BH114" s="11" t="n">
        <v>12</v>
      </c>
      <c r="BI114" s="11" t="n">
        <v>12</v>
      </c>
      <c r="BJ114" s="11" t="n">
        <v>0</v>
      </c>
      <c r="BK114" s="10"/>
      <c r="BL114" s="14" t="s">
        <v>93</v>
      </c>
      <c r="BM114" s="15" t="n">
        <f aca="false">(F114-'Ensemble Parameters'!$B$20)/'Ensemble Parameters'!$C$20</f>
        <v>1.96185617170724</v>
      </c>
      <c r="BN114" s="15" t="n">
        <f aca="false">(L114-'Ensemble Parameters'!$B$21)/'Ensemble Parameters'!$C$21</f>
        <v>2.26670474492555</v>
      </c>
      <c r="BO114" s="15" t="n">
        <f aca="false">(S114-'Ensemble Parameters'!$B$22)/'Ensemble Parameters'!$C$22</f>
        <v>2.37148383293146</v>
      </c>
      <c r="BP114" s="15" t="n">
        <f aca="false">(W114-'Ensemble Parameters'!$B$23)/'Ensemble Parameters'!$C$23</f>
        <v>2.39289579200176</v>
      </c>
      <c r="BQ114" s="15" t="n">
        <f aca="false">AVERAGE(BO114:BP114)</f>
        <v>2.38218981246661</v>
      </c>
      <c r="BR114" s="15" t="n">
        <f aca="false">(AQ114-'Ensemble Parameters'!$B$24)/'Ensemble Parameters'!$C$24</f>
        <v>2.20007761488242</v>
      </c>
      <c r="BS114" s="15" t="n">
        <f aca="false">BM114*'Ensemble Parameters'!$B$5+BN114*'Ensemble Parameters'!$B$6+BQ114*'Ensemble Parameters'!$B$8+BR114*'Ensemble Parameters'!$B$7</f>
        <v>2.20270708599545</v>
      </c>
      <c r="BT114" s="16" t="n">
        <f aca="false">'Ensemble Parameters'!$B$11+'Ensemble Parameters'!$B$12*BS114</f>
        <v>122.027070859955</v>
      </c>
      <c r="BU114" s="17" t="n">
        <f aca="false">'Ensemble Parameters'!$B$13*BS114</f>
        <v>30.8378992039364</v>
      </c>
      <c r="BV114" s="18" t="n">
        <f aca="false">RANK(BT114,$BT$5:$BT$125,0)</f>
        <v>3</v>
      </c>
      <c r="BW114" s="15" t="n">
        <f aca="false">STDEV(BM114,BN114,BQ114,BR114)</f>
        <v>0.177318758625867</v>
      </c>
      <c r="BX114" s="19" t="str">
        <f aca="false">IF(BW114&lt;'Ensemble Parameters'!$B$14,"High",IF(BW114&lt;'Ensemble Parameters'!$B$15,"Moderate","Low"))</f>
        <v>High</v>
      </c>
      <c r="BY114" s="19" t="str">
        <f aca="false">IF(BX114="Low","REVIEW — MODEL DISAGREEMENT","")</f>
        <v/>
      </c>
      <c r="BZ114" s="20" t="n">
        <v>4</v>
      </c>
    </row>
    <row r="115" customFormat="false" ht="15" hidden="false" customHeight="true" outlineLevel="0" collapsed="false">
      <c r="A115" s="7" t="s">
        <v>306</v>
      </c>
      <c r="B115" s="7" t="s">
        <v>317</v>
      </c>
      <c r="C115" s="7" t="s">
        <v>318</v>
      </c>
      <c r="D115" s="7" t="n">
        <v>6</v>
      </c>
      <c r="E115" s="7" t="s">
        <v>318</v>
      </c>
      <c r="F115" s="8" t="n">
        <v>22.115900439</v>
      </c>
      <c r="G115" s="9" t="n">
        <v>85</v>
      </c>
      <c r="H115" s="8" t="n">
        <v>4.23475813254868</v>
      </c>
      <c r="I115" s="8" t="n">
        <v>9.41162604135397</v>
      </c>
      <c r="J115" s="7" t="s">
        <v>83</v>
      </c>
      <c r="K115" s="7" t="s">
        <v>84</v>
      </c>
      <c r="L115" s="8" t="n">
        <v>-0.275808237926997</v>
      </c>
      <c r="M115" s="8" t="n">
        <v>99.724191762073</v>
      </c>
      <c r="N115" s="9" t="n">
        <v>45</v>
      </c>
      <c r="O115" s="8" t="n">
        <v>0.510304761904762</v>
      </c>
      <c r="P115" s="8" t="n">
        <v>0.164876190476191</v>
      </c>
      <c r="Q115" s="7" t="s">
        <v>85</v>
      </c>
      <c r="R115" s="1" t="s">
        <v>86</v>
      </c>
      <c r="S115" s="10" t="n">
        <v>0.430642</v>
      </c>
      <c r="T115" s="11" t="n">
        <v>70</v>
      </c>
      <c r="U115" s="10" t="n">
        <v>0.422274</v>
      </c>
      <c r="V115" s="11" t="n">
        <v>64</v>
      </c>
      <c r="W115" s="10" t="n">
        <v>0.4483</v>
      </c>
      <c r="X115" s="11" t="n">
        <v>69</v>
      </c>
      <c r="Y115" s="10" t="n">
        <v>0.4383622098</v>
      </c>
      <c r="Z115" s="11" t="n">
        <v>64</v>
      </c>
      <c r="AA115" s="10" t="n">
        <v>0.3261</v>
      </c>
      <c r="AB115" s="10" t="n">
        <v>0.4157</v>
      </c>
      <c r="AC115" s="10" t="n">
        <v>0.5813</v>
      </c>
      <c r="AD115" s="10" t="n">
        <v>0.732</v>
      </c>
      <c r="AE115" s="10" t="n">
        <v>0.325</v>
      </c>
      <c r="AF115" s="10" t="n">
        <v>0.3365</v>
      </c>
      <c r="AG115" s="12" t="n">
        <v>47.8</v>
      </c>
      <c r="AH115" s="11" t="n">
        <v>-6</v>
      </c>
      <c r="AI115" s="1" t="s">
        <v>87</v>
      </c>
      <c r="AJ115" s="12" t="n">
        <v>4.31</v>
      </c>
      <c r="AK115" s="12" t="n">
        <v>4.42</v>
      </c>
      <c r="AL115" s="12" t="n">
        <v>3.36</v>
      </c>
      <c r="AM115" s="13" t="n">
        <v>-0.157106282256614</v>
      </c>
      <c r="AN115" s="11" t="n">
        <v>39</v>
      </c>
      <c r="AO115" s="11" t="n">
        <v>12</v>
      </c>
      <c r="AP115" s="14" t="s">
        <v>88</v>
      </c>
      <c r="AQ115" s="13" t="n">
        <v>-0.10997439757963</v>
      </c>
      <c r="AR115" s="11" t="n">
        <v>39</v>
      </c>
      <c r="AS115" s="13" t="n">
        <v>-0.287058052657809</v>
      </c>
      <c r="AT115" s="13" t="n">
        <v>-0.397032450237439</v>
      </c>
      <c r="AU115" s="11" t="n">
        <v>40</v>
      </c>
      <c r="AV115" s="10"/>
      <c r="AW115" s="14" t="s">
        <v>89</v>
      </c>
      <c r="AX115" s="14" t="s">
        <v>90</v>
      </c>
      <c r="AY115" s="10" t="n">
        <v>-1.64155369247245</v>
      </c>
      <c r="AZ115" s="10" t="n">
        <v>98.3584463075275</v>
      </c>
      <c r="BA115" s="11" t="n">
        <v>49</v>
      </c>
      <c r="BB115" s="14" t="s">
        <v>91</v>
      </c>
      <c r="BC115" s="10"/>
      <c r="BD115" s="11"/>
      <c r="BE115" s="14" t="s">
        <v>92</v>
      </c>
      <c r="BF115" s="10" t="n">
        <v>0.00882905939174569</v>
      </c>
      <c r="BG115" s="11" t="n">
        <v>5</v>
      </c>
      <c r="BH115" s="11" t="n">
        <v>13</v>
      </c>
      <c r="BI115" s="11" t="n">
        <v>13</v>
      </c>
      <c r="BJ115" s="11" t="n">
        <v>0</v>
      </c>
      <c r="BK115" s="10"/>
      <c r="BL115" s="14" t="s">
        <v>93</v>
      </c>
      <c r="BM115" s="15" t="n">
        <f aca="false">(F115-'Ensemble Parameters'!$B$20)/'Ensemble Parameters'!$C$20</f>
        <v>-0.695875554599636</v>
      </c>
      <c r="BN115" s="15" t="n">
        <f aca="false">(L115-'Ensemble Parameters'!$B$21)/'Ensemble Parameters'!$C$21</f>
        <v>-0.0289104785871953</v>
      </c>
      <c r="BO115" s="15" t="n">
        <f aca="false">(S115-'Ensemble Parameters'!$B$22)/'Ensemble Parameters'!$C$22</f>
        <v>-0.329740729221917</v>
      </c>
      <c r="BP115" s="15" t="n">
        <f aca="false">(W115-'Ensemble Parameters'!$B$23)/'Ensemble Parameters'!$C$23</f>
        <v>-0.315556043986436</v>
      </c>
      <c r="BQ115" s="15" t="n">
        <f aca="false">AVERAGE(BO115:BP115)</f>
        <v>-0.322648386604177</v>
      </c>
      <c r="BR115" s="15" t="n">
        <f aca="false">(AQ115-'Ensemble Parameters'!$B$24)/'Ensemble Parameters'!$C$24</f>
        <v>-0.0016179824377446</v>
      </c>
      <c r="BS115" s="15" t="n">
        <f aca="false">BM115*'Ensemble Parameters'!$B$5+BN115*'Ensemble Parameters'!$B$6+BQ115*'Ensemble Parameters'!$B$8+BR115*'Ensemble Parameters'!$B$7</f>
        <v>-0.262263100557188</v>
      </c>
      <c r="BT115" s="16" t="n">
        <f aca="false">'Ensemble Parameters'!$B$11+'Ensemble Parameters'!$B$12*BS115</f>
        <v>97.3773689944281</v>
      </c>
      <c r="BU115" s="17" t="n">
        <f aca="false">'Ensemble Parameters'!$B$13*BS115</f>
        <v>-3.67168340780064</v>
      </c>
      <c r="BV115" s="18" t="n">
        <f aca="false">RANK(BT115,$BT$5:$BT$125,0)</f>
        <v>56</v>
      </c>
      <c r="BW115" s="15" t="n">
        <f aca="false">STDEV(BM115,BN115,BQ115,BR115)</f>
        <v>0.323550854761896</v>
      </c>
      <c r="BX115" s="19" t="str">
        <f aca="false">IF(BW115&lt;'Ensemble Parameters'!$B$14,"High",IF(BW115&lt;'Ensemble Parameters'!$B$15,"Moderate","Low"))</f>
        <v>Moderate</v>
      </c>
      <c r="BY115" s="19" t="str">
        <f aca="false">IF(BX115="Low","REVIEW — MODEL DISAGREEMENT","")</f>
        <v/>
      </c>
      <c r="BZ115" s="20" t="n">
        <v>4</v>
      </c>
    </row>
    <row r="116" customFormat="false" ht="15" hidden="false" customHeight="true" outlineLevel="0" collapsed="false">
      <c r="A116" s="7" t="s">
        <v>306</v>
      </c>
      <c r="B116" s="7" t="s">
        <v>319</v>
      </c>
      <c r="C116" s="7" t="s">
        <v>319</v>
      </c>
      <c r="D116" s="7" t="n">
        <v>7</v>
      </c>
      <c r="E116" s="7" t="s">
        <v>319</v>
      </c>
      <c r="F116" s="8" t="n">
        <v>24.683553037</v>
      </c>
      <c r="G116" s="9" t="n">
        <v>52</v>
      </c>
      <c r="H116" s="8" t="n">
        <v>4.20952548614107</v>
      </c>
      <c r="I116" s="8" t="n">
        <v>12.0549765785768</v>
      </c>
      <c r="J116" s="7" t="s">
        <v>83</v>
      </c>
      <c r="K116" s="7" t="s">
        <v>84</v>
      </c>
      <c r="L116" s="8" t="n">
        <v>2.70372847095958</v>
      </c>
      <c r="M116" s="8" t="n">
        <v>102.70372847096</v>
      </c>
      <c r="N116" s="9" t="n">
        <v>35</v>
      </c>
      <c r="O116" s="8" t="n">
        <v>0.625619047619048</v>
      </c>
      <c r="P116" s="8" t="n">
        <v>2.00990476190476</v>
      </c>
      <c r="Q116" s="7" t="s">
        <v>85</v>
      </c>
      <c r="R116" s="1" t="s">
        <v>86</v>
      </c>
      <c r="S116" s="10" t="n">
        <v>0.533973</v>
      </c>
      <c r="T116" s="11" t="n">
        <v>35</v>
      </c>
      <c r="U116" s="10" t="n">
        <v>0.547825</v>
      </c>
      <c r="V116" s="11" t="n">
        <v>32</v>
      </c>
      <c r="W116" s="10" t="n">
        <v>0.55139</v>
      </c>
      <c r="X116" s="11" t="n">
        <v>31</v>
      </c>
      <c r="Y116" s="10" t="n">
        <v>0.56369312649</v>
      </c>
      <c r="Z116" s="11" t="n">
        <v>32</v>
      </c>
      <c r="AA116" s="10" t="n">
        <v>0.4137</v>
      </c>
      <c r="AB116" s="10" t="n">
        <v>0.5211</v>
      </c>
      <c r="AC116" s="10" t="n">
        <v>0.6627</v>
      </c>
      <c r="AD116" s="10" t="n">
        <v>0.892</v>
      </c>
      <c r="AE116" s="10" t="n">
        <v>0.475</v>
      </c>
      <c r="AF116" s="10" t="n">
        <v>0.6898</v>
      </c>
      <c r="AG116" s="12" t="n">
        <v>81.84</v>
      </c>
      <c r="AH116" s="11" t="n">
        <v>-3</v>
      </c>
      <c r="AI116" s="1" t="s">
        <v>87</v>
      </c>
      <c r="AJ116" s="12" t="n">
        <v>5.92</v>
      </c>
      <c r="AK116" s="12" t="n">
        <v>6.09</v>
      </c>
      <c r="AL116" s="12" t="n">
        <v>5.46</v>
      </c>
      <c r="AM116" s="13" t="n">
        <v>2.92382883675165</v>
      </c>
      <c r="AN116" s="11" t="n">
        <v>35</v>
      </c>
      <c r="AO116" s="11" t="n">
        <v>12</v>
      </c>
      <c r="AP116" s="14" t="s">
        <v>88</v>
      </c>
      <c r="AQ116" s="13" t="n">
        <v>2.04668018572616</v>
      </c>
      <c r="AR116" s="11" t="n">
        <v>35</v>
      </c>
      <c r="AS116" s="13" t="n">
        <v>1.10218864791777</v>
      </c>
      <c r="AT116" s="13" t="n">
        <v>3.14886883364393</v>
      </c>
      <c r="AU116" s="11" t="n">
        <v>32</v>
      </c>
      <c r="AV116" s="10"/>
      <c r="AW116" s="14" t="s">
        <v>89</v>
      </c>
      <c r="AX116" s="14" t="s">
        <v>90</v>
      </c>
      <c r="AY116" s="10" t="n">
        <v>4.16438301641413</v>
      </c>
      <c r="AZ116" s="10" t="n">
        <v>104.164383016414</v>
      </c>
      <c r="BA116" s="11" t="n">
        <v>31</v>
      </c>
      <c r="BB116" s="14" t="s">
        <v>91</v>
      </c>
      <c r="BC116" s="10"/>
      <c r="BD116" s="11"/>
      <c r="BE116" s="14" t="s">
        <v>92</v>
      </c>
      <c r="BF116" s="10" t="n">
        <v>0.00826735766561216</v>
      </c>
      <c r="BG116" s="11" t="n">
        <v>92</v>
      </c>
      <c r="BH116" s="11" t="n">
        <v>12</v>
      </c>
      <c r="BI116" s="11" t="n">
        <v>12</v>
      </c>
      <c r="BJ116" s="11" t="n">
        <v>0</v>
      </c>
      <c r="BK116" s="10"/>
      <c r="BL116" s="14" t="s">
        <v>93</v>
      </c>
      <c r="BM116" s="15" t="n">
        <f aca="false">(F116-'Ensemble Parameters'!$B$20)/'Ensemble Parameters'!$C$20</f>
        <v>-0.106868270774041</v>
      </c>
      <c r="BN116" s="15" t="n">
        <f aca="false">(L116-'Ensemble Parameters'!$B$21)/'Ensemble Parameters'!$C$21</f>
        <v>0.283407358144091</v>
      </c>
      <c r="BO116" s="15" t="n">
        <f aca="false">(S116-'Ensemble Parameters'!$B$22)/'Ensemble Parameters'!$C$22</f>
        <v>0.390852213640498</v>
      </c>
      <c r="BP116" s="15" t="n">
        <f aca="false">(W116-'Ensemble Parameters'!$B$23)/'Ensemble Parameters'!$C$23</f>
        <v>0.492203780618378</v>
      </c>
      <c r="BQ116" s="15" t="n">
        <f aca="false">AVERAGE(BO116:BP116)</f>
        <v>0.441527997129438</v>
      </c>
      <c r="BR116" s="15" t="n">
        <f aca="false">(AQ116-'Ensemble Parameters'!$B$24)/'Ensemble Parameters'!$C$24</f>
        <v>0.141483643577243</v>
      </c>
      <c r="BS116" s="15" t="n">
        <f aca="false">BM116*'Ensemble Parameters'!$B$5+BN116*'Ensemble Parameters'!$B$6+BQ116*'Ensemble Parameters'!$B$8+BR116*'Ensemble Parameters'!$B$7</f>
        <v>0.189887682019183</v>
      </c>
      <c r="BT116" s="16" t="n">
        <f aca="false">'Ensemble Parameters'!$B$11+'Ensemble Parameters'!$B$12*BS116</f>
        <v>101.898876820192</v>
      </c>
      <c r="BU116" s="17" t="n">
        <f aca="false">'Ensemble Parameters'!$B$13*BS116</f>
        <v>2.65842754826856</v>
      </c>
      <c r="BV116" s="18" t="n">
        <f aca="false">RANK(BT116,$BT$5:$BT$125,0)</f>
        <v>37</v>
      </c>
      <c r="BW116" s="15" t="n">
        <f aca="false">STDEV(BM116,BN116,BQ116,BR116)</f>
        <v>0.232720020960094</v>
      </c>
      <c r="BX116" s="19" t="str">
        <f aca="false">IF(BW116&lt;'Ensemble Parameters'!$B$14,"High",IF(BW116&lt;'Ensemble Parameters'!$B$15,"Moderate","Low"))</f>
        <v>High</v>
      </c>
      <c r="BY116" s="19" t="str">
        <f aca="false">IF(BX116="Low","REVIEW — MODEL DISAGREEMENT","")</f>
        <v/>
      </c>
      <c r="BZ116" s="20" t="n">
        <v>4</v>
      </c>
    </row>
    <row r="117" customFormat="false" ht="15" hidden="false" customHeight="true" outlineLevel="0" collapsed="false">
      <c r="A117" s="7" t="s">
        <v>306</v>
      </c>
      <c r="B117" s="7" t="s">
        <v>320</v>
      </c>
      <c r="C117" s="7" t="s">
        <v>321</v>
      </c>
      <c r="D117" s="7" t="n">
        <v>8</v>
      </c>
      <c r="E117" s="7" t="s">
        <v>321</v>
      </c>
      <c r="F117" s="8" t="n">
        <v>22.712023253</v>
      </c>
      <c r="G117" s="9" t="n">
        <v>77</v>
      </c>
      <c r="H117" s="8" t="n">
        <v>4.1991430556962</v>
      </c>
      <c r="I117" s="8" t="n">
        <v>10.1145940859114</v>
      </c>
      <c r="J117" s="7" t="s">
        <v>83</v>
      </c>
      <c r="K117" s="7" t="s">
        <v>84</v>
      </c>
      <c r="L117" s="8" t="n">
        <v>0.784393156633791</v>
      </c>
      <c r="M117" s="8" t="n">
        <v>100.784393156634</v>
      </c>
      <c r="N117" s="9" t="n">
        <v>39</v>
      </c>
      <c r="O117" s="8" t="n">
        <v>0.605961904761905</v>
      </c>
      <c r="P117" s="8" t="n">
        <v>1.69539047619048</v>
      </c>
      <c r="Q117" s="7" t="s">
        <v>85</v>
      </c>
      <c r="R117" s="1" t="s">
        <v>86</v>
      </c>
      <c r="S117" s="10" t="n">
        <v>0.470449</v>
      </c>
      <c r="T117" s="11" t="n">
        <v>55</v>
      </c>
      <c r="U117" s="10" t="n">
        <v>0.457289</v>
      </c>
      <c r="V117" s="11" t="n">
        <v>52</v>
      </c>
      <c r="W117" s="10" t="n">
        <v>0.49628</v>
      </c>
      <c r="X117" s="11" t="n">
        <v>53</v>
      </c>
      <c r="Y117" s="10" t="n">
        <v>0.48082398068</v>
      </c>
      <c r="Z117" s="11" t="n">
        <v>52</v>
      </c>
      <c r="AA117" s="10" t="n">
        <v>0.2926</v>
      </c>
      <c r="AB117" s="10" t="n">
        <v>0.4581</v>
      </c>
      <c r="AC117" s="10" t="n">
        <v>0.5074</v>
      </c>
      <c r="AD117" s="10" t="n">
        <v>0.754</v>
      </c>
      <c r="AE117" s="10" t="n">
        <v>1</v>
      </c>
      <c r="AF117" s="10" t="n">
        <v>0.3224</v>
      </c>
      <c r="AG117" s="12" t="n">
        <v>24.78</v>
      </c>
      <c r="AH117" s="11" t="n">
        <v>-3</v>
      </c>
      <c r="AI117" s="1" t="s">
        <v>87</v>
      </c>
      <c r="AJ117" s="12" t="n">
        <v>3.98</v>
      </c>
      <c r="AK117" s="12" t="n">
        <v>4.32</v>
      </c>
      <c r="AL117" s="12" t="n">
        <v>5.36</v>
      </c>
      <c r="AM117" s="13" t="n">
        <v>-0.11650139472647</v>
      </c>
      <c r="AN117" s="11" t="n">
        <v>38</v>
      </c>
      <c r="AO117" s="11" t="n">
        <v>12</v>
      </c>
      <c r="AP117" s="14" t="s">
        <v>88</v>
      </c>
      <c r="AQ117" s="13" t="n">
        <v>-0.0815509763085293</v>
      </c>
      <c r="AR117" s="11" t="n">
        <v>38</v>
      </c>
      <c r="AS117" s="13" t="n">
        <v>1.24475897772432</v>
      </c>
      <c r="AT117" s="13" t="n">
        <v>1.16320800141579</v>
      </c>
      <c r="AU117" s="11" t="n">
        <v>36</v>
      </c>
      <c r="AV117" s="10"/>
      <c r="AW117" s="14" t="s">
        <v>89</v>
      </c>
      <c r="AX117" s="14" t="s">
        <v>90</v>
      </c>
      <c r="AY117" s="10" t="n">
        <v>-0.694152297911663</v>
      </c>
      <c r="AZ117" s="10" t="n">
        <v>99.3058477020883</v>
      </c>
      <c r="BA117" s="11" t="n">
        <v>43</v>
      </c>
      <c r="BB117" s="14" t="s">
        <v>91</v>
      </c>
      <c r="BC117" s="10"/>
      <c r="BD117" s="11"/>
      <c r="BE117" s="14" t="s">
        <v>92</v>
      </c>
      <c r="BF117" s="10" t="n">
        <v>0.0082587546367087</v>
      </c>
      <c r="BG117" s="11" t="n">
        <v>99</v>
      </c>
      <c r="BH117" s="11" t="n">
        <v>12</v>
      </c>
      <c r="BI117" s="11" t="n">
        <v>12</v>
      </c>
      <c r="BJ117" s="11" t="n">
        <v>0</v>
      </c>
      <c r="BK117" s="10"/>
      <c r="BL117" s="14" t="s">
        <v>93</v>
      </c>
      <c r="BM117" s="15" t="n">
        <f aca="false">(F117-'Ensemble Parameters'!$B$20)/'Ensemble Parameters'!$C$20</f>
        <v>-0.559127818642636</v>
      </c>
      <c r="BN117" s="15" t="n">
        <f aca="false">(L117-'Ensemble Parameters'!$B$21)/'Ensemble Parameters'!$C$21</f>
        <v>0.0822208275185968</v>
      </c>
      <c r="BO117" s="15" t="n">
        <f aca="false">(S117-'Ensemble Parameters'!$B$22)/'Ensemble Parameters'!$C$22</f>
        <v>-0.0521411388131904</v>
      </c>
      <c r="BP117" s="15" t="n">
        <f aca="false">(W117-'Ensemble Parameters'!$B$23)/'Ensemble Parameters'!$C$23</f>
        <v>0.0603903754969179</v>
      </c>
      <c r="BQ117" s="15" t="n">
        <f aca="false">AVERAGE(BO117:BP117)</f>
        <v>0.00412461834186375</v>
      </c>
      <c r="BR117" s="15" t="n">
        <f aca="false">(AQ117-'Ensemble Parameters'!$B$24)/'Ensemble Parameters'!$C$24</f>
        <v>0.000268011653422651</v>
      </c>
      <c r="BS117" s="15" t="n">
        <f aca="false">BM117*'Ensemble Parameters'!$B$5+BN117*'Ensemble Parameters'!$B$6+BQ117*'Ensemble Parameters'!$B$8+BR117*'Ensemble Parameters'!$B$7</f>
        <v>-0.118128590282188</v>
      </c>
      <c r="BT117" s="16" t="n">
        <f aca="false">'Ensemble Parameters'!$B$11+'Ensemble Parameters'!$B$12*BS117</f>
        <v>98.8187140971781</v>
      </c>
      <c r="BU117" s="17" t="n">
        <f aca="false">'Ensemble Parameters'!$B$13*BS117</f>
        <v>-1.65380026395063</v>
      </c>
      <c r="BV117" s="18" t="n">
        <f aca="false">RANK(BT117,$BT$5:$BT$125,0)</f>
        <v>48</v>
      </c>
      <c r="BW117" s="15" t="n">
        <f aca="false">STDEV(BM117,BN117,BQ117,BR117)</f>
        <v>0.296414018447396</v>
      </c>
      <c r="BX117" s="19" t="str">
        <f aca="false">IF(BW117&lt;'Ensemble Parameters'!$B$14,"High",IF(BW117&lt;'Ensemble Parameters'!$B$15,"Moderate","Low"))</f>
        <v>High</v>
      </c>
      <c r="BY117" s="19" t="str">
        <f aca="false">IF(BX117="Low","REVIEW — MODEL DISAGREEMENT","")</f>
        <v/>
      </c>
      <c r="BZ117" s="20" t="n">
        <v>4</v>
      </c>
    </row>
    <row r="118" customFormat="false" ht="15" hidden="false" customHeight="true" outlineLevel="0" collapsed="false">
      <c r="A118" s="7" t="s">
        <v>306</v>
      </c>
      <c r="B118" s="7" t="s">
        <v>322</v>
      </c>
      <c r="C118" s="7" t="s">
        <v>323</v>
      </c>
      <c r="D118" s="7" t="n">
        <v>9</v>
      </c>
      <c r="E118" s="7" t="s">
        <v>323</v>
      </c>
      <c r="F118" s="8" t="n">
        <v>27.88789795</v>
      </c>
      <c r="G118" s="9" t="n">
        <v>33</v>
      </c>
      <c r="H118" s="8" t="n">
        <v>4.32880582880878</v>
      </c>
      <c r="I118" s="8" t="n">
        <v>14.9014804635737</v>
      </c>
      <c r="J118" s="7" t="s">
        <v>83</v>
      </c>
      <c r="K118" s="7" t="s">
        <v>84</v>
      </c>
      <c r="L118" s="8" t="n">
        <v>5.13996753291109</v>
      </c>
      <c r="M118" s="8" t="n">
        <v>105.139967532911</v>
      </c>
      <c r="N118" s="9" t="n">
        <v>29</v>
      </c>
      <c r="O118" s="8" t="n">
        <v>0.588171428571429</v>
      </c>
      <c r="P118" s="8" t="n">
        <v>1.41074285714286</v>
      </c>
      <c r="Q118" s="7" t="s">
        <v>85</v>
      </c>
      <c r="R118" s="1" t="s">
        <v>86</v>
      </c>
      <c r="S118" s="10" t="n">
        <v>0.56198</v>
      </c>
      <c r="T118" s="11" t="n">
        <v>33</v>
      </c>
      <c r="U118" s="10" t="n">
        <v>0.555547</v>
      </c>
      <c r="V118" s="11" t="n">
        <v>30</v>
      </c>
      <c r="W118" s="10" t="n">
        <v>0.5705</v>
      </c>
      <c r="X118" s="11" t="n">
        <v>32</v>
      </c>
      <c r="Y118" s="10" t="n">
        <v>0.5633088799</v>
      </c>
      <c r="Z118" s="11" t="n">
        <v>30</v>
      </c>
      <c r="AA118" s="10" t="n">
        <v>0.5276</v>
      </c>
      <c r="AB118" s="10" t="n">
        <v>0.4222</v>
      </c>
      <c r="AC118" s="10" t="n">
        <v>0.558</v>
      </c>
      <c r="AD118" s="10" t="n">
        <v>0.769</v>
      </c>
      <c r="AE118" s="10" t="n">
        <v>0.85</v>
      </c>
      <c r="AF118" s="10" t="n">
        <v>0.4896</v>
      </c>
      <c r="AG118" s="12" t="n">
        <v>39.75</v>
      </c>
      <c r="AH118" s="11" t="n">
        <v>-3</v>
      </c>
      <c r="AI118" s="1" t="s">
        <v>87</v>
      </c>
      <c r="AJ118" s="12" t="n">
        <v>5.61</v>
      </c>
      <c r="AK118" s="12" t="n">
        <v>5.76</v>
      </c>
      <c r="AL118" s="12" t="n">
        <v>5.97</v>
      </c>
      <c r="AM118" s="13" t="n">
        <v>9.53670857606321</v>
      </c>
      <c r="AN118" s="11" t="n">
        <v>29</v>
      </c>
      <c r="AO118" s="11" t="n">
        <v>13</v>
      </c>
      <c r="AP118" s="14" t="s">
        <v>88</v>
      </c>
      <c r="AQ118" s="13" t="n">
        <v>6.67569600324424</v>
      </c>
      <c r="AR118" s="11" t="n">
        <v>29</v>
      </c>
      <c r="AS118" s="13" t="n">
        <v>0.195684789590112</v>
      </c>
      <c r="AT118" s="13" t="n">
        <v>6.87138079283436</v>
      </c>
      <c r="AU118" s="11" t="n">
        <v>29</v>
      </c>
      <c r="AV118" s="10"/>
      <c r="AW118" s="14" t="s">
        <v>89</v>
      </c>
      <c r="AX118" s="14" t="s">
        <v>90</v>
      </c>
      <c r="AY118" s="10" t="n">
        <v>4.99902207836563</v>
      </c>
      <c r="AZ118" s="10" t="n">
        <v>104.999022078366</v>
      </c>
      <c r="BA118" s="11" t="n">
        <v>30</v>
      </c>
      <c r="BB118" s="14" t="s">
        <v>91</v>
      </c>
      <c r="BC118" s="10"/>
      <c r="BD118" s="11"/>
      <c r="BE118" s="14" t="s">
        <v>92</v>
      </c>
      <c r="BF118" s="10" t="n">
        <v>0.008251978255892</v>
      </c>
      <c r="BG118" s="11" t="n">
        <v>105</v>
      </c>
      <c r="BH118" s="11" t="n">
        <v>12</v>
      </c>
      <c r="BI118" s="11" t="n">
        <v>12</v>
      </c>
      <c r="BJ118" s="11" t="n">
        <v>0</v>
      </c>
      <c r="BK118" s="10"/>
      <c r="BL118" s="14" t="s">
        <v>93</v>
      </c>
      <c r="BM118" s="15" t="n">
        <f aca="false">(F118-'Ensemble Parameters'!$B$20)/'Ensemble Parameters'!$C$20</f>
        <v>0.628193199425088</v>
      </c>
      <c r="BN118" s="15" t="n">
        <f aca="false">(L118-'Ensemble Parameters'!$B$21)/'Ensemble Parameters'!$C$21</f>
        <v>0.538776225162779</v>
      </c>
      <c r="BO118" s="15" t="n">
        <f aca="false">(S118-'Ensemble Parameters'!$B$22)/'Ensemble Parameters'!$C$22</f>
        <v>0.58616288082409</v>
      </c>
      <c r="BP118" s="15" t="n">
        <f aca="false">(W118-'Ensemble Parameters'!$B$23)/'Ensemble Parameters'!$C$23</f>
        <v>0.641939838899472</v>
      </c>
      <c r="BQ118" s="15" t="n">
        <f aca="false">AVERAGE(BO118:BP118)</f>
        <v>0.614051359861781</v>
      </c>
      <c r="BR118" s="15" t="n">
        <f aca="false">(AQ118-'Ensemble Parameters'!$B$24)/'Ensemble Parameters'!$C$24</f>
        <v>0.448635143619756</v>
      </c>
      <c r="BS118" s="15" t="n">
        <f aca="false">BM118*'Ensemble Parameters'!$B$5+BN118*'Ensemble Parameters'!$B$6+BQ118*'Ensemble Parameters'!$B$8+BR118*'Ensemble Parameters'!$B$7</f>
        <v>0.557413982017351</v>
      </c>
      <c r="BT118" s="16" t="n">
        <f aca="false">'Ensemble Parameters'!$B$11+'Ensemble Parameters'!$B$12*BS118</f>
        <v>105.574139820174</v>
      </c>
      <c r="BU118" s="17" t="n">
        <f aca="false">'Ensemble Parameters'!$B$13*BS118</f>
        <v>7.80379574824291</v>
      </c>
      <c r="BV118" s="18" t="n">
        <f aca="false">RANK(BT118,$BT$5:$BT$125,0)</f>
        <v>31</v>
      </c>
      <c r="BW118" s="15" t="n">
        <f aca="false">STDEV(BM118,BN118,BQ118,BR118)</f>
        <v>0.0824574473079797</v>
      </c>
      <c r="BX118" s="19" t="str">
        <f aca="false">IF(BW118&lt;'Ensemble Parameters'!$B$14,"High",IF(BW118&lt;'Ensemble Parameters'!$B$15,"Moderate","Low"))</f>
        <v>High</v>
      </c>
      <c r="BY118" s="19" t="str">
        <f aca="false">IF(BX118="Low","REVIEW — MODEL DISAGREEMENT","")</f>
        <v/>
      </c>
      <c r="BZ118" s="20" t="n">
        <v>4</v>
      </c>
    </row>
    <row r="119" customFormat="false" ht="15" hidden="false" customHeight="true" outlineLevel="0" collapsed="false">
      <c r="A119" s="7" t="s">
        <v>306</v>
      </c>
      <c r="B119" s="7" t="s">
        <v>324</v>
      </c>
      <c r="C119" s="7" t="s">
        <v>325</v>
      </c>
      <c r="D119" s="7" t="n">
        <v>10</v>
      </c>
      <c r="E119" s="7" t="s">
        <v>325</v>
      </c>
      <c r="F119" s="8" t="n">
        <v>28.722292539</v>
      </c>
      <c r="G119" s="9" t="n">
        <v>26</v>
      </c>
      <c r="H119" s="8" t="n">
        <v>4.39148459983819</v>
      </c>
      <c r="I119" s="8" t="n">
        <v>15.5478387394854</v>
      </c>
      <c r="J119" s="7" t="s">
        <v>83</v>
      </c>
      <c r="K119" s="7" t="s">
        <v>84</v>
      </c>
      <c r="L119" s="8" t="n">
        <v>19.5051186728185</v>
      </c>
      <c r="M119" s="8" t="n">
        <v>119.505118672819</v>
      </c>
      <c r="N119" s="9" t="n">
        <v>8</v>
      </c>
      <c r="O119" s="8" t="n">
        <v>0.730685714285714</v>
      </c>
      <c r="P119" s="8" t="n">
        <v>3.69097142857143</v>
      </c>
      <c r="Q119" s="7" t="s">
        <v>85</v>
      </c>
      <c r="R119" s="1" t="s">
        <v>86</v>
      </c>
      <c r="S119" s="10" t="n">
        <v>0.720741</v>
      </c>
      <c r="T119" s="11" t="n">
        <v>12</v>
      </c>
      <c r="U119" s="10" t="n">
        <v>0.711369</v>
      </c>
      <c r="V119" s="11" t="n">
        <v>12</v>
      </c>
      <c r="W119" s="10" t="n">
        <v>0.712645</v>
      </c>
      <c r="X119" s="11" t="n">
        <v>11</v>
      </c>
      <c r="Y119" s="10" t="n">
        <v>0.703992100295</v>
      </c>
      <c r="Z119" s="11" t="n">
        <v>12</v>
      </c>
      <c r="AA119" s="10" t="n">
        <v>0.7077</v>
      </c>
      <c r="AB119" s="10" t="n">
        <v>0.7065</v>
      </c>
      <c r="AC119" s="10" t="n">
        <v>0.5634</v>
      </c>
      <c r="AD119" s="10" t="n">
        <v>0.828</v>
      </c>
      <c r="AE119" s="10" t="n">
        <v>1</v>
      </c>
      <c r="AF119" s="10" t="n">
        <v>0.6153</v>
      </c>
      <c r="AG119" s="12" t="n">
        <v>41.54</v>
      </c>
      <c r="AH119" s="11" t="n">
        <v>0</v>
      </c>
      <c r="AI119" s="1" t="s">
        <v>87</v>
      </c>
      <c r="AJ119" s="12" t="n">
        <v>8.29</v>
      </c>
      <c r="AK119" s="12" t="n">
        <v>8.24</v>
      </c>
      <c r="AL119" s="12" t="n">
        <v>8.78</v>
      </c>
      <c r="AM119" s="13" t="n">
        <v>45.4895136538633</v>
      </c>
      <c r="AN119" s="11" t="n">
        <v>10</v>
      </c>
      <c r="AO119" s="11" t="n">
        <v>13</v>
      </c>
      <c r="AP119" s="14" t="s">
        <v>88</v>
      </c>
      <c r="AQ119" s="13" t="n">
        <v>31.8426595577043</v>
      </c>
      <c r="AR119" s="11" t="n">
        <v>10</v>
      </c>
      <c r="AS119" s="13" t="n">
        <v>1.40428079987731</v>
      </c>
      <c r="AT119" s="13" t="n">
        <v>33.2469403575817</v>
      </c>
      <c r="AU119" s="11" t="n">
        <v>8</v>
      </c>
      <c r="AV119" s="10"/>
      <c r="AW119" s="14" t="s">
        <v>89</v>
      </c>
      <c r="AX119" s="14" t="s">
        <v>90</v>
      </c>
      <c r="AY119" s="10" t="n">
        <v>20.369773218273</v>
      </c>
      <c r="AZ119" s="10" t="n">
        <v>120.369773218273</v>
      </c>
      <c r="BA119" s="11" t="n">
        <v>9</v>
      </c>
      <c r="BB119" s="14" t="s">
        <v>91</v>
      </c>
      <c r="BC119" s="10"/>
      <c r="BD119" s="11"/>
      <c r="BE119" s="14" t="s">
        <v>92</v>
      </c>
      <c r="BF119" s="10" t="n">
        <v>0.00826740709125544</v>
      </c>
      <c r="BG119" s="11" t="n">
        <v>91</v>
      </c>
      <c r="BH119" s="11" t="n">
        <v>12</v>
      </c>
      <c r="BI119" s="11" t="n">
        <v>12</v>
      </c>
      <c r="BJ119" s="11" t="n">
        <v>0</v>
      </c>
      <c r="BK119" s="10"/>
      <c r="BL119" s="14" t="s">
        <v>93</v>
      </c>
      <c r="BM119" s="15" t="n">
        <f aca="false">(F119-'Ensemble Parameters'!$B$20)/'Ensemble Parameters'!$C$20</f>
        <v>0.819599346381447</v>
      </c>
      <c r="BN119" s="15" t="n">
        <f aca="false">(L119-'Ensemble Parameters'!$B$21)/'Ensemble Parameters'!$C$21</f>
        <v>2.0445448619286</v>
      </c>
      <c r="BO119" s="15" t="n">
        <f aca="false">(S119-'Ensemble Parameters'!$B$22)/'Ensemble Parameters'!$C$22</f>
        <v>1.6933045537178</v>
      </c>
      <c r="BP119" s="15" t="n">
        <f aca="false">(W119-'Ensemble Parameters'!$B$23)/'Ensemble Parameters'!$C$23</f>
        <v>1.7557144074168</v>
      </c>
      <c r="BQ119" s="15" t="n">
        <f aca="false">AVERAGE(BO119:BP119)</f>
        <v>1.7245094805673</v>
      </c>
      <c r="BR119" s="15" t="n">
        <f aca="false">(AQ119-'Ensemble Parameters'!$B$24)/'Ensemble Parameters'!$C$24</f>
        <v>2.11855179804421</v>
      </c>
      <c r="BS119" s="15" t="n">
        <f aca="false">BM119*'Ensemble Parameters'!$B$5+BN119*'Ensemble Parameters'!$B$6+BQ119*'Ensemble Parameters'!$B$8+BR119*'Ensemble Parameters'!$B$7</f>
        <v>1.67680137173039</v>
      </c>
      <c r="BT119" s="16" t="n">
        <f aca="false">'Ensemble Parameters'!$B$11+'Ensemble Parameters'!$B$12*BS119</f>
        <v>116.768013717304</v>
      </c>
      <c r="BU119" s="17" t="n">
        <f aca="false">'Ensemble Parameters'!$B$13*BS119</f>
        <v>23.4752192042254</v>
      </c>
      <c r="BV119" s="18" t="n">
        <f aca="false">RANK(BT119,$BT$5:$BT$125,0)</f>
        <v>14</v>
      </c>
      <c r="BW119" s="15" t="n">
        <f aca="false">STDEV(BM119,BN119,BQ119,BR119)</f>
        <v>0.596503727186657</v>
      </c>
      <c r="BX119" s="19" t="str">
        <f aca="false">IF(BW119&lt;'Ensemble Parameters'!$B$14,"High",IF(BW119&lt;'Ensemble Parameters'!$B$15,"Moderate","Low"))</f>
        <v>Moderate</v>
      </c>
      <c r="BY119" s="19" t="str">
        <f aca="false">IF(BX119="Low","REVIEW — MODEL DISAGREEMENT","")</f>
        <v/>
      </c>
      <c r="BZ119" s="20" t="n">
        <v>4</v>
      </c>
    </row>
    <row r="120" customFormat="false" ht="15" hidden="false" customHeight="true" outlineLevel="0" collapsed="false">
      <c r="A120" s="7" t="s">
        <v>306</v>
      </c>
      <c r="B120" s="7" t="s">
        <v>326</v>
      </c>
      <c r="C120" s="7" t="s">
        <v>327</v>
      </c>
      <c r="D120" s="7" t="n">
        <v>11</v>
      </c>
      <c r="E120" s="7" t="s">
        <v>327</v>
      </c>
      <c r="F120" s="8" t="n">
        <v>33.337437528</v>
      </c>
      <c r="G120" s="9" t="n">
        <v>9</v>
      </c>
      <c r="H120" s="8" t="n">
        <v>4.12557164021052</v>
      </c>
      <c r="I120" s="8" t="n">
        <v>20.9607226073684</v>
      </c>
      <c r="J120" s="7" t="s">
        <v>83</v>
      </c>
      <c r="K120" s="7" t="s">
        <v>84</v>
      </c>
      <c r="L120" s="8" t="n">
        <v>19.4107453768179</v>
      </c>
      <c r="M120" s="8" t="n">
        <v>119.410745376818</v>
      </c>
      <c r="N120" s="9" t="n">
        <v>9</v>
      </c>
      <c r="O120" s="8" t="n">
        <v>0.631076190476191</v>
      </c>
      <c r="P120" s="8" t="n">
        <v>2.09721904761905</v>
      </c>
      <c r="Q120" s="7" t="s">
        <v>85</v>
      </c>
      <c r="R120" s="1" t="s">
        <v>86</v>
      </c>
      <c r="S120" s="10" t="n">
        <v>0.727696</v>
      </c>
      <c r="T120" s="11" t="n">
        <v>11</v>
      </c>
      <c r="U120" s="10" t="n">
        <v>0.717359</v>
      </c>
      <c r="V120" s="11" t="n">
        <v>11</v>
      </c>
      <c r="W120" s="10" t="n">
        <v>0.70069</v>
      </c>
      <c r="X120" s="11" t="n">
        <v>13</v>
      </c>
      <c r="Y120" s="10" t="n">
        <v>0.69275310119</v>
      </c>
      <c r="Z120" s="11" t="n">
        <v>11</v>
      </c>
      <c r="AA120" s="10" t="n">
        <v>0.8545</v>
      </c>
      <c r="AB120" s="10" t="n">
        <v>0.6757</v>
      </c>
      <c r="AC120" s="10" t="n">
        <v>0.6155</v>
      </c>
      <c r="AD120" s="10" t="n">
        <v>0.776</v>
      </c>
      <c r="AE120" s="10" t="n">
        <v>0.35</v>
      </c>
      <c r="AF120" s="10" t="n">
        <v>0.6114</v>
      </c>
      <c r="AG120" s="12" t="n">
        <v>61.02</v>
      </c>
      <c r="AH120" s="11" t="n">
        <v>0</v>
      </c>
      <c r="AI120" s="1" t="s">
        <v>87</v>
      </c>
      <c r="AJ120" s="12" t="n">
        <v>8.53</v>
      </c>
      <c r="AK120" s="12" t="n">
        <v>8.14</v>
      </c>
      <c r="AL120" s="12" t="n">
        <v>6.51</v>
      </c>
      <c r="AM120" s="13" t="n">
        <v>46.7216732992548</v>
      </c>
      <c r="AN120" s="11" t="n">
        <v>8</v>
      </c>
      <c r="AO120" s="11" t="n">
        <v>14</v>
      </c>
      <c r="AP120" s="14" t="s">
        <v>88</v>
      </c>
      <c r="AQ120" s="13" t="n">
        <v>32.7051713094784</v>
      </c>
      <c r="AR120" s="11" t="n">
        <v>8</v>
      </c>
      <c r="AS120" s="13" t="n">
        <v>-0.627623854209206</v>
      </c>
      <c r="AT120" s="13" t="n">
        <v>32.0775474552692</v>
      </c>
      <c r="AU120" s="11" t="n">
        <v>10</v>
      </c>
      <c r="AV120" s="10"/>
      <c r="AW120" s="14" t="s">
        <v>89</v>
      </c>
      <c r="AX120" s="14" t="s">
        <v>90</v>
      </c>
      <c r="AY120" s="10" t="n">
        <v>20.2441999222724</v>
      </c>
      <c r="AZ120" s="10" t="n">
        <v>120.244199922272</v>
      </c>
      <c r="BA120" s="11" t="n">
        <v>10</v>
      </c>
      <c r="BB120" s="14" t="s">
        <v>91</v>
      </c>
      <c r="BC120" s="10"/>
      <c r="BD120" s="11"/>
      <c r="BE120" s="14" t="s">
        <v>92</v>
      </c>
      <c r="BF120" s="10" t="n">
        <v>0.00826087020198479</v>
      </c>
      <c r="BG120" s="11" t="n">
        <v>98</v>
      </c>
      <c r="BH120" s="11" t="n">
        <v>12</v>
      </c>
      <c r="BI120" s="11" t="n">
        <v>12</v>
      </c>
      <c r="BJ120" s="11" t="n">
        <v>0</v>
      </c>
      <c r="BK120" s="10"/>
      <c r="BL120" s="14" t="s">
        <v>93</v>
      </c>
      <c r="BM120" s="15" t="n">
        <f aca="false">(F120-'Ensemble Parameters'!$B$20)/'Ensemble Parameters'!$C$20</f>
        <v>1.87829163853561</v>
      </c>
      <c r="BN120" s="15" t="n">
        <f aca="false">(L120-'Ensemble Parameters'!$B$21)/'Ensemble Parameters'!$C$21</f>
        <v>2.03465256438979</v>
      </c>
      <c r="BO120" s="15" t="n">
        <f aca="false">(S120-'Ensemble Parameters'!$B$22)/'Ensemble Parameters'!$C$22</f>
        <v>1.7418062029577</v>
      </c>
      <c r="BP120" s="15" t="n">
        <f aca="false">(W120-'Ensemble Parameters'!$B$23)/'Ensemble Parameters'!$C$23</f>
        <v>1.66204122182023</v>
      </c>
      <c r="BQ120" s="15" t="n">
        <f aca="false">AVERAGE(BO120:BP120)</f>
        <v>1.70192371238896</v>
      </c>
      <c r="BR120" s="15" t="n">
        <f aca="false">(AQ120-'Ensemble Parameters'!$B$24)/'Ensemble Parameters'!$C$24</f>
        <v>2.17578249001098</v>
      </c>
      <c r="BS120" s="15" t="n">
        <f aca="false">BM120*'Ensemble Parameters'!$B$5+BN120*'Ensemble Parameters'!$B$6+BQ120*'Ensemble Parameters'!$B$8+BR120*'Ensemble Parameters'!$B$7</f>
        <v>1.94766260133133</v>
      </c>
      <c r="BT120" s="16" t="n">
        <f aca="false">'Ensemble Parameters'!$B$11+'Ensemble Parameters'!$B$12*BS120</f>
        <v>119.476626013313</v>
      </c>
      <c r="BU120" s="17" t="n">
        <f aca="false">'Ensemble Parameters'!$B$13*BS120</f>
        <v>27.2672764186387</v>
      </c>
      <c r="BV120" s="18" t="n">
        <f aca="false">RANK(BT120,$BT$5:$BT$125,0)</f>
        <v>8</v>
      </c>
      <c r="BW120" s="15" t="n">
        <f aca="false">STDEV(BM120,BN120,BQ120,BR120)</f>
        <v>0.203965576590727</v>
      </c>
      <c r="BX120" s="19" t="str">
        <f aca="false">IF(BW120&lt;'Ensemble Parameters'!$B$14,"High",IF(BW120&lt;'Ensemble Parameters'!$B$15,"Moderate","Low"))</f>
        <v>High</v>
      </c>
      <c r="BY120" s="19" t="str">
        <f aca="false">IF(BX120="Low","REVIEW — MODEL DISAGREEMENT","")</f>
        <v/>
      </c>
      <c r="BZ120" s="20" t="n">
        <v>4</v>
      </c>
    </row>
    <row r="121" customFormat="false" ht="15" hidden="false" customHeight="true" outlineLevel="0" collapsed="false">
      <c r="A121" s="7" t="s">
        <v>306</v>
      </c>
      <c r="B121" s="7" t="s">
        <v>328</v>
      </c>
      <c r="C121" s="7" t="s">
        <v>329</v>
      </c>
      <c r="D121" s="7" t="n">
        <v>12</v>
      </c>
      <c r="E121" s="7" t="s">
        <v>329</v>
      </c>
      <c r="F121" s="8" t="n">
        <v>17.668818422</v>
      </c>
      <c r="G121" s="9" t="n">
        <v>121</v>
      </c>
      <c r="H121" s="8" t="n">
        <v>4.63495187279346</v>
      </c>
      <c r="I121" s="8" t="n">
        <v>3.76396280361962</v>
      </c>
      <c r="J121" s="7" t="s">
        <v>83</v>
      </c>
      <c r="K121" s="7" t="s">
        <v>84</v>
      </c>
      <c r="L121" s="8" t="n">
        <v>-2.68706408628162</v>
      </c>
      <c r="M121" s="8" t="n">
        <v>97.3129359137184</v>
      </c>
      <c r="N121" s="9" t="n">
        <v>58</v>
      </c>
      <c r="O121" s="8" t="n">
        <v>0.711247619047619</v>
      </c>
      <c r="P121" s="8" t="n">
        <v>3.37996190476191</v>
      </c>
      <c r="Q121" s="7" t="s">
        <v>85</v>
      </c>
      <c r="R121" s="1" t="s">
        <v>86</v>
      </c>
      <c r="S121" s="10" t="n">
        <v>0.439016</v>
      </c>
      <c r="T121" s="11" t="n">
        <v>63</v>
      </c>
      <c r="U121" s="10" t="n">
        <v>0.442401</v>
      </c>
      <c r="V121" s="11" t="n">
        <v>61</v>
      </c>
      <c r="W121" s="10" t="n">
        <v>0.47922</v>
      </c>
      <c r="X121" s="11" t="n">
        <v>54</v>
      </c>
      <c r="Y121" s="10" t="n">
        <v>0.47903155532</v>
      </c>
      <c r="Z121" s="11" t="n">
        <v>61</v>
      </c>
      <c r="AA121" s="10" t="n">
        <v>0.0817</v>
      </c>
      <c r="AB121" s="10" t="n">
        <v>0.7295</v>
      </c>
      <c r="AC121" s="10" t="n">
        <v>0.5597</v>
      </c>
      <c r="AD121" s="10" t="n">
        <v>0.798</v>
      </c>
      <c r="AE121" s="10" t="n">
        <v>0.85</v>
      </c>
      <c r="AF121" s="10" t="n">
        <v>0.4771</v>
      </c>
      <c r="AG121" s="12" t="n">
        <v>40.32</v>
      </c>
      <c r="AH121" s="11" t="n">
        <v>-2</v>
      </c>
      <c r="AI121" s="1" t="s">
        <v>87</v>
      </c>
      <c r="AJ121" s="12" t="n">
        <v>4.13</v>
      </c>
      <c r="AK121" s="12" t="n">
        <v>4.59</v>
      </c>
      <c r="AL121" s="12" t="n">
        <v>6.09</v>
      </c>
      <c r="AM121" s="13" t="n">
        <v>-11.8064801400624</v>
      </c>
      <c r="AN121" s="11" t="n">
        <v>81</v>
      </c>
      <c r="AO121" s="11" t="n">
        <v>12</v>
      </c>
      <c r="AP121" s="14" t="s">
        <v>88</v>
      </c>
      <c r="AQ121" s="13" t="n">
        <v>-8.26453609804364</v>
      </c>
      <c r="AR121" s="11" t="n">
        <v>83</v>
      </c>
      <c r="AS121" s="13" t="n">
        <v>3.35579931455027</v>
      </c>
      <c r="AT121" s="13" t="n">
        <v>-4.90873678349337</v>
      </c>
      <c r="AU121" s="11" t="n">
        <v>55</v>
      </c>
      <c r="AV121" s="10"/>
      <c r="AW121" s="14" t="s">
        <v>89</v>
      </c>
      <c r="AX121" s="14" t="s">
        <v>90</v>
      </c>
      <c r="AY121" s="10" t="n">
        <v>-2.92800954082708</v>
      </c>
      <c r="AZ121" s="10" t="n">
        <v>97.0719904591729</v>
      </c>
      <c r="BA121" s="11" t="n">
        <v>60</v>
      </c>
      <c r="BB121" s="14" t="s">
        <v>91</v>
      </c>
      <c r="BC121" s="10"/>
      <c r="BD121" s="11"/>
      <c r="BE121" s="14" t="s">
        <v>92</v>
      </c>
      <c r="BF121" s="10" t="n">
        <v>0.00824695644290986</v>
      </c>
      <c r="BG121" s="11" t="n">
        <v>108</v>
      </c>
      <c r="BH121" s="11" t="n">
        <v>12</v>
      </c>
      <c r="BI121" s="11" t="n">
        <v>12</v>
      </c>
      <c r="BJ121" s="11" t="n">
        <v>0</v>
      </c>
      <c r="BK121" s="10"/>
      <c r="BL121" s="14" t="s">
        <v>93</v>
      </c>
      <c r="BM121" s="15" t="n">
        <f aca="false">(F121-'Ensemble Parameters'!$B$20)/'Ensemble Parameters'!$C$20</f>
        <v>-1.7160150009652</v>
      </c>
      <c r="BN121" s="15" t="n">
        <f aca="false">(L121-'Ensemble Parameters'!$B$21)/'Ensemble Parameters'!$C$21</f>
        <v>-0.281660581688021</v>
      </c>
      <c r="BO121" s="15" t="n">
        <f aca="false">(S121-'Ensemble Parameters'!$B$22)/'Ensemble Parameters'!$C$22</f>
        <v>-0.271343488282317</v>
      </c>
      <c r="BP121" s="15" t="n">
        <f aca="false">(W121-'Ensemble Parameters'!$B$23)/'Ensemble Parameters'!$C$23</f>
        <v>-0.0732829449779889</v>
      </c>
      <c r="BQ121" s="15" t="n">
        <f aca="false">AVERAGE(BO121:BP121)</f>
        <v>-0.172313216630153</v>
      </c>
      <c r="BR121" s="15" t="n">
        <f aca="false">(AQ121-'Ensemble Parameters'!$B$24)/'Ensemble Parameters'!$C$24</f>
        <v>-0.54270186662064</v>
      </c>
      <c r="BS121" s="15" t="n">
        <f aca="false">BM121*'Ensemble Parameters'!$B$5+BN121*'Ensemble Parameters'!$B$6+BQ121*'Ensemble Parameters'!$B$8+BR121*'Ensemble Parameters'!$B$7</f>
        <v>-0.678172666476004</v>
      </c>
      <c r="BT121" s="16" t="n">
        <f aca="false">'Ensemble Parameters'!$B$11+'Ensemble Parameters'!$B$12*BS121</f>
        <v>93.21827333524</v>
      </c>
      <c r="BU121" s="17" t="n">
        <f aca="false">'Ensemble Parameters'!$B$13*BS121</f>
        <v>-9.49441733066405</v>
      </c>
      <c r="BV121" s="18" t="n">
        <f aca="false">RANK(BT121,$BT$5:$BT$125,0)</f>
        <v>83</v>
      </c>
      <c r="BW121" s="15" t="n">
        <f aca="false">STDEV(BM121,BN121,BQ121,BR121)</f>
        <v>0.709127319375182</v>
      </c>
      <c r="BX121" s="19" t="str">
        <f aca="false">IF(BW121&lt;'Ensemble Parameters'!$B$14,"High",IF(BW121&lt;'Ensemble Parameters'!$B$15,"Moderate","Low"))</f>
        <v>Low</v>
      </c>
      <c r="BY121" s="19" t="str">
        <f aca="false">IF(BX121="Low","REVIEW — MODEL DISAGREEMENT","")</f>
        <v>REVIEW — MODEL DISAGREEMENT</v>
      </c>
      <c r="BZ121" s="20" t="n">
        <v>4</v>
      </c>
    </row>
    <row r="122" customFormat="false" ht="15" hidden="false" customHeight="true" outlineLevel="0" collapsed="false">
      <c r="A122" s="7" t="s">
        <v>306</v>
      </c>
      <c r="B122" s="7" t="s">
        <v>330</v>
      </c>
      <c r="C122" s="7" t="s">
        <v>331</v>
      </c>
      <c r="D122" s="7" t="n">
        <v>13</v>
      </c>
      <c r="E122" s="7" t="s">
        <v>331</v>
      </c>
      <c r="F122" s="8" t="n">
        <v>28.325714854</v>
      </c>
      <c r="G122" s="9" t="n">
        <v>29</v>
      </c>
      <c r="H122" s="8" t="n">
        <v>4.1168032928168</v>
      </c>
      <c r="I122" s="8" t="n">
        <v>15.9753049755496</v>
      </c>
      <c r="J122" s="7" t="s">
        <v>83</v>
      </c>
      <c r="K122" s="7" t="s">
        <v>84</v>
      </c>
      <c r="L122" s="8" t="n">
        <v>12.9029489582449</v>
      </c>
      <c r="M122" s="8" t="n">
        <v>112.902948958245</v>
      </c>
      <c r="N122" s="9" t="n">
        <v>20</v>
      </c>
      <c r="O122" s="8" t="n">
        <v>0.634704761904762</v>
      </c>
      <c r="P122" s="8" t="n">
        <v>2.15527619047619</v>
      </c>
      <c r="Q122" s="7" t="s">
        <v>85</v>
      </c>
      <c r="R122" s="1" t="s">
        <v>86</v>
      </c>
      <c r="S122" s="10" t="n">
        <v>0.646988</v>
      </c>
      <c r="T122" s="11" t="n">
        <v>20</v>
      </c>
      <c r="U122" s="10" t="n">
        <v>0.640714</v>
      </c>
      <c r="V122" s="11" t="n">
        <v>20</v>
      </c>
      <c r="W122" s="10" t="n">
        <v>0.640695</v>
      </c>
      <c r="X122" s="11" t="n">
        <v>20</v>
      </c>
      <c r="Y122" s="10" t="n">
        <v>0.634979881745</v>
      </c>
      <c r="Z122" s="11" t="n">
        <v>20</v>
      </c>
      <c r="AA122" s="10" t="n">
        <v>0.6631</v>
      </c>
      <c r="AB122" s="10" t="n">
        <v>0.5348</v>
      </c>
      <c r="AC122" s="10" t="n">
        <v>0.5414</v>
      </c>
      <c r="AD122" s="10" t="n">
        <v>0.813</v>
      </c>
      <c r="AE122" s="10" t="n">
        <v>0.85</v>
      </c>
      <c r="AF122" s="10" t="n">
        <v>0.5764</v>
      </c>
      <c r="AG122" s="12" t="n">
        <v>34.46</v>
      </c>
      <c r="AH122" s="11" t="n">
        <v>0</v>
      </c>
      <c r="AI122" s="1" t="s">
        <v>87</v>
      </c>
      <c r="AJ122" s="12" t="n">
        <v>7.02</v>
      </c>
      <c r="AK122" s="12" t="n">
        <v>6.9</v>
      </c>
      <c r="AL122" s="12" t="n">
        <v>6.83</v>
      </c>
      <c r="AM122" s="13" t="n">
        <v>29.9499989299522</v>
      </c>
      <c r="AN122" s="11" t="n">
        <v>19</v>
      </c>
      <c r="AO122" s="11" t="n">
        <v>13</v>
      </c>
      <c r="AP122" s="14" t="s">
        <v>88</v>
      </c>
      <c r="AQ122" s="13" t="n">
        <v>20.9649992509665</v>
      </c>
      <c r="AR122" s="11" t="n">
        <v>19</v>
      </c>
      <c r="AS122" s="13" t="n">
        <v>0.237549276894503</v>
      </c>
      <c r="AT122" s="13" t="n">
        <v>21.202548527861</v>
      </c>
      <c r="AU122" s="11" t="n">
        <v>20</v>
      </c>
      <c r="AV122" s="10"/>
      <c r="AW122" s="14" t="s">
        <v>89</v>
      </c>
      <c r="AX122" s="14" t="s">
        <v>90</v>
      </c>
      <c r="AY122" s="10" t="n">
        <v>13.4564035036995</v>
      </c>
      <c r="AZ122" s="10" t="n">
        <v>113.4564035037</v>
      </c>
      <c r="BA122" s="11" t="n">
        <v>20</v>
      </c>
      <c r="BB122" s="14" t="s">
        <v>91</v>
      </c>
      <c r="BC122" s="10"/>
      <c r="BD122" s="11"/>
      <c r="BE122" s="14" t="s">
        <v>92</v>
      </c>
      <c r="BF122" s="10" t="n">
        <v>0.00824415589961783</v>
      </c>
      <c r="BG122" s="11" t="n">
        <v>111</v>
      </c>
      <c r="BH122" s="11" t="n">
        <v>12</v>
      </c>
      <c r="BI122" s="11" t="n">
        <v>12</v>
      </c>
      <c r="BJ122" s="11" t="n">
        <v>0</v>
      </c>
      <c r="BK122" s="10"/>
      <c r="BL122" s="14" t="s">
        <v>93</v>
      </c>
      <c r="BM122" s="15" t="n">
        <f aca="false">(F122-'Ensemble Parameters'!$B$20)/'Ensemble Parameters'!$C$20</f>
        <v>0.728626313172189</v>
      </c>
      <c r="BN122" s="15" t="n">
        <f aca="false">(L122-'Ensemble Parameters'!$B$21)/'Ensemble Parameters'!$C$21</f>
        <v>1.35249923052606</v>
      </c>
      <c r="BO122" s="15" t="n">
        <f aca="false">(S122-'Ensemble Parameters'!$B$22)/'Ensemble Parameters'!$C$22</f>
        <v>1.17897786264802</v>
      </c>
      <c r="BP122" s="15" t="n">
        <f aca="false">(W122-'Ensemble Parameters'!$B$23)/'Ensemble Parameters'!$C$23</f>
        <v>1.1919514878289</v>
      </c>
      <c r="BQ122" s="15" t="n">
        <f aca="false">AVERAGE(BO122:BP122)</f>
        <v>1.18546467523846</v>
      </c>
      <c r="BR122" s="15" t="n">
        <f aca="false">(AQ122-'Ensemble Parameters'!$B$24)/'Ensemble Parameters'!$C$24</f>
        <v>1.3967807322545</v>
      </c>
      <c r="BS122" s="15" t="n">
        <f aca="false">BM122*'Ensemble Parameters'!$B$5+BN122*'Ensemble Parameters'!$B$6+BQ122*'Ensemble Parameters'!$B$8+BR122*'Ensemble Parameters'!$B$7</f>
        <v>1.1658427377978</v>
      </c>
      <c r="BT122" s="16" t="n">
        <f aca="false">'Ensemble Parameters'!$B$11+'Ensemble Parameters'!$B$12*BS122</f>
        <v>111.658427377978</v>
      </c>
      <c r="BU122" s="17" t="n">
        <f aca="false">'Ensemble Parameters'!$B$13*BS122</f>
        <v>16.3217983291693</v>
      </c>
      <c r="BV122" s="18" t="n">
        <f aca="false">RANK(BT122,$BT$5:$BT$125,0)</f>
        <v>20</v>
      </c>
      <c r="BW122" s="15" t="n">
        <f aca="false">STDEV(BM122,BN122,BQ122,BR122)</f>
        <v>0.305350195651173</v>
      </c>
      <c r="BX122" s="19" t="str">
        <f aca="false">IF(BW122&lt;'Ensemble Parameters'!$B$14,"High",IF(BW122&lt;'Ensemble Parameters'!$B$15,"Moderate","Low"))</f>
        <v>Moderate</v>
      </c>
      <c r="BY122" s="19" t="str">
        <f aca="false">IF(BX122="Low","REVIEW — MODEL DISAGREEMENT","")</f>
        <v/>
      </c>
      <c r="BZ122" s="20" t="n">
        <v>4</v>
      </c>
    </row>
    <row r="123" customFormat="false" ht="15" hidden="false" customHeight="true" outlineLevel="0" collapsed="false">
      <c r="A123" s="7" t="s">
        <v>306</v>
      </c>
      <c r="B123" s="7" t="s">
        <v>332</v>
      </c>
      <c r="C123" s="7" t="s">
        <v>333</v>
      </c>
      <c r="D123" s="7" t="n">
        <v>14</v>
      </c>
      <c r="E123" s="7" t="s">
        <v>333</v>
      </c>
      <c r="F123" s="8" t="n">
        <v>33.934668855</v>
      </c>
      <c r="G123" s="9" t="n">
        <v>3</v>
      </c>
      <c r="H123" s="8" t="n">
        <v>3.95585242811887</v>
      </c>
      <c r="I123" s="8" t="n">
        <v>22.0671115706434</v>
      </c>
      <c r="J123" s="7" t="s">
        <v>83</v>
      </c>
      <c r="K123" s="7" t="s">
        <v>84</v>
      </c>
      <c r="L123" s="8" t="n">
        <v>21.3691835600986</v>
      </c>
      <c r="M123" s="8" t="n">
        <v>121.369183560099</v>
      </c>
      <c r="N123" s="9" t="n">
        <v>4</v>
      </c>
      <c r="O123" s="8" t="n">
        <v>0.747142857142857</v>
      </c>
      <c r="P123" s="8" t="n">
        <v>3.95428571428572</v>
      </c>
      <c r="Q123" s="7" t="s">
        <v>85</v>
      </c>
      <c r="R123" s="1" t="s">
        <v>86</v>
      </c>
      <c r="S123" s="10" t="n">
        <v>0.816869</v>
      </c>
      <c r="T123" s="11" t="n">
        <v>2</v>
      </c>
      <c r="U123" s="10" t="n">
        <v>0.813805</v>
      </c>
      <c r="V123" s="11" t="n">
        <v>2</v>
      </c>
      <c r="W123" s="10" t="n">
        <v>0.79284</v>
      </c>
      <c r="X123" s="11" t="n">
        <v>2</v>
      </c>
      <c r="Y123" s="10" t="n">
        <v>0.79191199884</v>
      </c>
      <c r="Z123" s="11" t="n">
        <v>2</v>
      </c>
      <c r="AA123" s="10" t="n">
        <v>0.9084</v>
      </c>
      <c r="AB123" s="10" t="n">
        <v>0.7245</v>
      </c>
      <c r="AC123" s="10" t="n">
        <v>0.614</v>
      </c>
      <c r="AD123" s="10" t="n">
        <v>0.915</v>
      </c>
      <c r="AE123" s="10" t="n">
        <v>0.85</v>
      </c>
      <c r="AF123" s="10" t="n">
        <v>0.7824</v>
      </c>
      <c r="AG123" s="12" t="n">
        <v>60.38</v>
      </c>
      <c r="AH123" s="11" t="n">
        <v>0</v>
      </c>
      <c r="AI123" s="1" t="s">
        <v>87</v>
      </c>
      <c r="AJ123" s="12" t="n">
        <v>9.94</v>
      </c>
      <c r="AK123" s="12" t="n">
        <v>9.72</v>
      </c>
      <c r="AL123" s="12" t="n">
        <v>9.39</v>
      </c>
      <c r="AM123" s="13" t="n">
        <v>46.0598188150687</v>
      </c>
      <c r="AN123" s="11" t="n">
        <v>9</v>
      </c>
      <c r="AO123" s="11" t="n">
        <v>16</v>
      </c>
      <c r="AP123" s="14" t="s">
        <v>88</v>
      </c>
      <c r="AQ123" s="13" t="n">
        <v>32.2418731705481</v>
      </c>
      <c r="AR123" s="11" t="n">
        <v>9</v>
      </c>
      <c r="AS123" s="13" t="n">
        <v>0.905065054205477</v>
      </c>
      <c r="AT123" s="13" t="n">
        <v>33.1469382247535</v>
      </c>
      <c r="AU123" s="11" t="n">
        <v>9</v>
      </c>
      <c r="AV123" s="10"/>
      <c r="AW123" s="14" t="s">
        <v>89</v>
      </c>
      <c r="AX123" s="14" t="s">
        <v>90</v>
      </c>
      <c r="AY123" s="10" t="n">
        <v>23.5706381055531</v>
      </c>
      <c r="AZ123" s="10" t="n">
        <v>123.570638105553</v>
      </c>
      <c r="BA123" s="11" t="n">
        <v>4</v>
      </c>
      <c r="BB123" s="14" t="s">
        <v>91</v>
      </c>
      <c r="BC123" s="10"/>
      <c r="BD123" s="11"/>
      <c r="BE123" s="14" t="s">
        <v>92</v>
      </c>
      <c r="BF123" s="10" t="n">
        <v>0.00829465922695535</v>
      </c>
      <c r="BG123" s="11" t="n">
        <v>54</v>
      </c>
      <c r="BH123" s="11" t="n">
        <v>12</v>
      </c>
      <c r="BI123" s="11" t="n">
        <v>12</v>
      </c>
      <c r="BJ123" s="11" t="n">
        <v>0</v>
      </c>
      <c r="BK123" s="10"/>
      <c r="BL123" s="14" t="s">
        <v>93</v>
      </c>
      <c r="BM123" s="15" t="n">
        <f aca="false">(F123-'Ensemble Parameters'!$B$20)/'Ensemble Parameters'!$C$20</f>
        <v>2.01529366209823</v>
      </c>
      <c r="BN123" s="15" t="n">
        <f aca="false">(L123-'Ensemble Parameters'!$B$21)/'Ensemble Parameters'!$C$21</f>
        <v>2.23993789447144</v>
      </c>
      <c r="BO123" s="15" t="n">
        <f aca="false">(S123-'Ensemble Parameters'!$B$22)/'Ensemble Parameters'!$C$22</f>
        <v>2.36366638522507</v>
      </c>
      <c r="BP123" s="15" t="n">
        <f aca="false">(W123-'Ensemble Parameters'!$B$23)/'Ensemble Parameters'!$C$23</f>
        <v>2.384080874913</v>
      </c>
      <c r="BQ123" s="15" t="n">
        <f aca="false">AVERAGE(BO123:BP123)</f>
        <v>2.37387363006904</v>
      </c>
      <c r="BR123" s="15" t="n">
        <f aca="false">(AQ123-'Ensemble Parameters'!$B$24)/'Ensemble Parameters'!$C$24</f>
        <v>2.14504102704151</v>
      </c>
      <c r="BS123" s="15" t="n">
        <f aca="false">BM123*'Ensemble Parameters'!$B$5+BN123*'Ensemble Parameters'!$B$6+BQ123*'Ensemble Parameters'!$B$8+BR123*'Ensemble Parameters'!$B$7</f>
        <v>2.19353655342005</v>
      </c>
      <c r="BT123" s="16" t="n">
        <f aca="false">'Ensemble Parameters'!$B$11+'Ensemble Parameters'!$B$12*BS123</f>
        <v>121.935365534201</v>
      </c>
      <c r="BU123" s="17" t="n">
        <f aca="false">'Ensemble Parameters'!$B$13*BS123</f>
        <v>30.7095117478807</v>
      </c>
      <c r="BV123" s="18" t="n">
        <f aca="false">RANK(BT123,$BT$5:$BT$125,0)</f>
        <v>4</v>
      </c>
      <c r="BW123" s="15" t="n">
        <f aca="false">STDEV(BM123,BN123,BQ123,BR123)</f>
        <v>0.151434133152739</v>
      </c>
      <c r="BX123" s="19" t="str">
        <f aca="false">IF(BW123&lt;'Ensemble Parameters'!$B$14,"High",IF(BW123&lt;'Ensemble Parameters'!$B$15,"Moderate","Low"))</f>
        <v>High</v>
      </c>
      <c r="BY123" s="19" t="str">
        <f aca="false">IF(BX123="Low","REVIEW — MODEL DISAGREEMENT","")</f>
        <v/>
      </c>
      <c r="BZ123" s="20" t="n">
        <v>4</v>
      </c>
    </row>
    <row r="124" customFormat="false" ht="15" hidden="false" customHeight="true" outlineLevel="0" collapsed="false">
      <c r="A124" s="7" t="s">
        <v>306</v>
      </c>
      <c r="B124" s="7" t="s">
        <v>334</v>
      </c>
      <c r="C124" s="7" t="s">
        <v>335</v>
      </c>
      <c r="D124" s="7" t="n">
        <v>15</v>
      </c>
      <c r="E124" s="7" t="s">
        <v>335</v>
      </c>
      <c r="F124" s="8" t="n">
        <v>32.443413061</v>
      </c>
      <c r="G124" s="9" t="n">
        <v>10</v>
      </c>
      <c r="H124" s="8" t="n">
        <v>4.24004906354189</v>
      </c>
      <c r="I124" s="8" t="n">
        <v>19.7232658703744</v>
      </c>
      <c r="J124" s="7" t="s">
        <v>83</v>
      </c>
      <c r="K124" s="7" t="s">
        <v>84</v>
      </c>
      <c r="L124" s="8" t="n">
        <v>19.5367965390301</v>
      </c>
      <c r="M124" s="8" t="n">
        <v>119.53679653903</v>
      </c>
      <c r="N124" s="9" t="n">
        <v>7</v>
      </c>
      <c r="O124" s="8" t="n">
        <v>0.697457142857143</v>
      </c>
      <c r="P124" s="8" t="n">
        <v>3.15931428571429</v>
      </c>
      <c r="Q124" s="7" t="s">
        <v>85</v>
      </c>
      <c r="R124" s="1" t="s">
        <v>86</v>
      </c>
      <c r="S124" s="10" t="n">
        <v>0.737259</v>
      </c>
      <c r="T124" s="11" t="n">
        <v>10</v>
      </c>
      <c r="U124" s="10" t="n">
        <v>0.731414</v>
      </c>
      <c r="V124" s="11" t="n">
        <v>9</v>
      </c>
      <c r="W124" s="10" t="n">
        <v>0.71714</v>
      </c>
      <c r="X124" s="11" t="n">
        <v>10</v>
      </c>
      <c r="Y124" s="10" t="n">
        <v>0.71308310604</v>
      </c>
      <c r="Z124" s="11" t="n">
        <v>9</v>
      </c>
      <c r="AA124" s="10" t="n">
        <v>0.7895</v>
      </c>
      <c r="AB124" s="10" t="n">
        <v>0.7017</v>
      </c>
      <c r="AC124" s="10" t="n">
        <v>0.5715</v>
      </c>
      <c r="AD124" s="10" t="n">
        <v>0.876</v>
      </c>
      <c r="AE124" s="10" t="n">
        <v>0.7</v>
      </c>
      <c r="AF124" s="10" t="n">
        <v>0.6715</v>
      </c>
      <c r="AG124" s="12" t="n">
        <v>44.33</v>
      </c>
      <c r="AH124" s="11" t="n">
        <v>-1</v>
      </c>
      <c r="AI124" s="1" t="s">
        <v>87</v>
      </c>
      <c r="AJ124" s="12" t="n">
        <v>8.77</v>
      </c>
      <c r="AK124" s="12" t="n">
        <v>8.45</v>
      </c>
      <c r="AL124" s="12" t="n">
        <v>7.76</v>
      </c>
      <c r="AM124" s="13" t="n">
        <v>50.6437057236935</v>
      </c>
      <c r="AN124" s="11" t="n">
        <v>4</v>
      </c>
      <c r="AO124" s="11" t="n">
        <v>14</v>
      </c>
      <c r="AP124" s="14" t="s">
        <v>88</v>
      </c>
      <c r="AQ124" s="13" t="n">
        <v>35.4505940065855</v>
      </c>
      <c r="AR124" s="11" t="n">
        <v>4</v>
      </c>
      <c r="AS124" s="13" t="n">
        <v>0.535403285460636</v>
      </c>
      <c r="AT124" s="13" t="n">
        <v>35.9859972920461</v>
      </c>
      <c r="AU124" s="11" t="n">
        <v>2</v>
      </c>
      <c r="AV124" s="10"/>
      <c r="AW124" s="14" t="s">
        <v>89</v>
      </c>
      <c r="AX124" s="14" t="s">
        <v>90</v>
      </c>
      <c r="AY124" s="10" t="n">
        <v>20.8510510844846</v>
      </c>
      <c r="AZ124" s="10" t="n">
        <v>120.851051084485</v>
      </c>
      <c r="BA124" s="11" t="n">
        <v>7</v>
      </c>
      <c r="BB124" s="14" t="s">
        <v>91</v>
      </c>
      <c r="BC124" s="10"/>
      <c r="BD124" s="11"/>
      <c r="BE124" s="14" t="s">
        <v>92</v>
      </c>
      <c r="BF124" s="10" t="n">
        <v>0.00825444888587017</v>
      </c>
      <c r="BG124" s="11" t="n">
        <v>103</v>
      </c>
      <c r="BH124" s="11" t="n">
        <v>12</v>
      </c>
      <c r="BI124" s="11" t="n">
        <v>12</v>
      </c>
      <c r="BJ124" s="11" t="n">
        <v>0</v>
      </c>
      <c r="BK124" s="10"/>
      <c r="BL124" s="14" t="s">
        <v>93</v>
      </c>
      <c r="BM124" s="15" t="n">
        <f aca="false">(F124-'Ensemble Parameters'!$B$20)/'Ensemble Parameters'!$C$20</f>
        <v>1.67320668140727</v>
      </c>
      <c r="BN124" s="15" t="n">
        <f aca="false">(L124-'Ensemble Parameters'!$B$21)/'Ensemble Parameters'!$C$21</f>
        <v>2.04786536562233</v>
      </c>
      <c r="BO124" s="15" t="n">
        <f aca="false">(S124-'Ensemble Parameters'!$B$22)/'Ensemble Parameters'!$C$22</f>
        <v>1.80849509895787</v>
      </c>
      <c r="BP124" s="15" t="n">
        <f aca="false">(W124-'Ensemble Parameters'!$B$23)/'Ensemble Parameters'!$C$23</f>
        <v>1.79093489836256</v>
      </c>
      <c r="BQ124" s="15" t="n">
        <f aca="false">AVERAGE(BO124:BP124)</f>
        <v>1.79971499866021</v>
      </c>
      <c r="BR124" s="15" t="n">
        <f aca="false">(AQ124-'Ensemble Parameters'!$B$24)/'Ensemble Parameters'!$C$24</f>
        <v>2.35795095365631</v>
      </c>
      <c r="BS124" s="15" t="n">
        <f aca="false">BM124*'Ensemble Parameters'!$B$5+BN124*'Ensemble Parameters'!$B$6+BQ124*'Ensemble Parameters'!$B$8+BR124*'Ensemble Parameters'!$B$7</f>
        <v>1.96968449983653</v>
      </c>
      <c r="BT124" s="16" t="n">
        <f aca="false">'Ensemble Parameters'!$B$11+'Ensemble Parameters'!$B$12*BS124</f>
        <v>119.696844998365</v>
      </c>
      <c r="BU124" s="17" t="n">
        <f aca="false">'Ensemble Parameters'!$B$13*BS124</f>
        <v>27.5755829977114</v>
      </c>
      <c r="BV124" s="18" t="n">
        <f aca="false">RANK(BT124,$BT$5:$BT$125,0)</f>
        <v>7</v>
      </c>
      <c r="BW124" s="15" t="n">
        <f aca="false">STDEV(BM124,BN124,BQ124,BR124)</f>
        <v>0.30202197220705</v>
      </c>
      <c r="BX124" s="19" t="str">
        <f aca="false">IF(BW124&lt;'Ensemble Parameters'!$B$14,"High",IF(BW124&lt;'Ensemble Parameters'!$B$15,"Moderate","Low"))</f>
        <v>Moderate</v>
      </c>
      <c r="BY124" s="19" t="str">
        <f aca="false">IF(BX124="Low","REVIEW — MODEL DISAGREEMENT","")</f>
        <v/>
      </c>
      <c r="BZ124" s="20" t="n">
        <v>4</v>
      </c>
    </row>
    <row r="125" customFormat="false" ht="15" hidden="false" customHeight="true" outlineLevel="0" collapsed="false">
      <c r="A125" s="7" t="s">
        <v>306</v>
      </c>
      <c r="B125" s="7" t="s">
        <v>336</v>
      </c>
      <c r="C125" s="7" t="s">
        <v>337</v>
      </c>
      <c r="D125" s="7" t="n">
        <v>16</v>
      </c>
      <c r="E125" s="7" t="s">
        <v>337</v>
      </c>
      <c r="F125" s="8" t="n">
        <v>33.624299621</v>
      </c>
      <c r="G125" s="9" t="n">
        <v>6</v>
      </c>
      <c r="H125" s="8" t="n">
        <v>3.9849041776836</v>
      </c>
      <c r="I125" s="8" t="n">
        <v>21.6695870879492</v>
      </c>
      <c r="J125" s="7" t="s">
        <v>83</v>
      </c>
      <c r="K125" s="7" t="s">
        <v>84</v>
      </c>
      <c r="L125" s="8" t="n">
        <v>15.6296751406154</v>
      </c>
      <c r="M125" s="8" t="n">
        <v>115.629675140615</v>
      </c>
      <c r="N125" s="9" t="n">
        <v>14</v>
      </c>
      <c r="O125" s="8" t="n">
        <v>0.562761904761905</v>
      </c>
      <c r="P125" s="8" t="n">
        <v>1.00419047619048</v>
      </c>
      <c r="Q125" s="7" t="s">
        <v>85</v>
      </c>
      <c r="R125" s="1" t="s">
        <v>86</v>
      </c>
      <c r="S125" s="10" t="n">
        <v>0.679402</v>
      </c>
      <c r="T125" s="11" t="n">
        <v>18</v>
      </c>
      <c r="U125" s="10" t="n">
        <v>0.662682</v>
      </c>
      <c r="V125" s="11" t="n">
        <v>18</v>
      </c>
      <c r="W125" s="10" t="n">
        <v>0.663565</v>
      </c>
      <c r="X125" s="11" t="n">
        <v>18</v>
      </c>
      <c r="Y125" s="10" t="n">
        <v>0.648252536415</v>
      </c>
      <c r="Z125" s="11" t="n">
        <v>18</v>
      </c>
      <c r="AA125" s="10" t="n">
        <v>0.8325</v>
      </c>
      <c r="AB125" s="10" t="n">
        <v>0.4167</v>
      </c>
      <c r="AC125" s="10" t="n">
        <v>0.5174</v>
      </c>
      <c r="AD125" s="10" t="n">
        <v>0.595</v>
      </c>
      <c r="AE125" s="10" t="n">
        <v>1</v>
      </c>
      <c r="AF125" s="10" t="n">
        <v>0.4913</v>
      </c>
      <c r="AG125" s="12" t="n">
        <v>27.46</v>
      </c>
      <c r="AH125" s="11" t="n">
        <v>0</v>
      </c>
      <c r="AI125" s="1" t="s">
        <v>87</v>
      </c>
      <c r="AJ125" s="12" t="n">
        <v>9.39</v>
      </c>
      <c r="AK125" s="12" t="n">
        <v>9.11</v>
      </c>
      <c r="AL125" s="12" t="n">
        <v>8.92</v>
      </c>
      <c r="AM125" s="13" t="n">
        <v>39.5544110065528</v>
      </c>
      <c r="AN125" s="11" t="n">
        <v>11</v>
      </c>
      <c r="AO125" s="11" t="n">
        <v>16</v>
      </c>
      <c r="AP125" s="14" t="s">
        <v>88</v>
      </c>
      <c r="AQ125" s="13" t="n">
        <v>27.688087704587</v>
      </c>
      <c r="AR125" s="11" t="n">
        <v>11</v>
      </c>
      <c r="AS125" s="13" t="n">
        <v>-1.24171014462082</v>
      </c>
      <c r="AT125" s="13" t="n">
        <v>26.4463775599661</v>
      </c>
      <c r="AU125" s="11" t="n">
        <v>13</v>
      </c>
      <c r="AV125" s="10"/>
      <c r="AW125" s="14" t="s">
        <v>89</v>
      </c>
      <c r="AX125" s="14" t="s">
        <v>90</v>
      </c>
      <c r="AY125" s="10" t="n">
        <v>15.50232968607</v>
      </c>
      <c r="AZ125" s="10" t="n">
        <v>115.50232968607</v>
      </c>
      <c r="BA125" s="11" t="n">
        <v>18</v>
      </c>
      <c r="BB125" s="14" t="s">
        <v>91</v>
      </c>
      <c r="BC125" s="10"/>
      <c r="BD125" s="11"/>
      <c r="BE125" s="14" t="s">
        <v>92</v>
      </c>
      <c r="BF125" s="10" t="n">
        <v>0.00883294844888362</v>
      </c>
      <c r="BG125" s="11" t="n">
        <v>4</v>
      </c>
      <c r="BH125" s="11" t="n">
        <v>13</v>
      </c>
      <c r="BI125" s="11" t="n">
        <v>13</v>
      </c>
      <c r="BJ125" s="11" t="n">
        <v>0</v>
      </c>
      <c r="BK125" s="10"/>
      <c r="BL125" s="14" t="s">
        <v>93</v>
      </c>
      <c r="BM125" s="15" t="n">
        <f aca="false">(F125-'Ensemble Parameters'!$B$20)/'Ensemble Parameters'!$C$20</f>
        <v>1.9440964371918</v>
      </c>
      <c r="BN125" s="15" t="n">
        <f aca="false">(L125-'Ensemble Parameters'!$B$21)/'Ensemble Parameters'!$C$21</f>
        <v>1.63831723038375</v>
      </c>
      <c r="BO125" s="15" t="n">
        <f aca="false">(S125-'Ensemble Parameters'!$B$22)/'Ensemble Parameters'!$C$22</f>
        <v>1.40502135056493</v>
      </c>
      <c r="BP125" s="15" t="n">
        <f aca="false">(W125-'Ensemble Parameters'!$B$23)/'Ensemble Parameters'!$C$23</f>
        <v>1.3711489578911</v>
      </c>
      <c r="BQ125" s="15" t="n">
        <f aca="false">AVERAGE(BO125:BP125)</f>
        <v>1.38808515422801</v>
      </c>
      <c r="BR125" s="15" t="n">
        <f aca="false">(AQ125-'Ensemble Parameters'!$B$24)/'Ensemble Parameters'!$C$24</f>
        <v>1.84288132573989</v>
      </c>
      <c r="BS125" s="15" t="n">
        <f aca="false">BM125*'Ensemble Parameters'!$B$5+BN125*'Ensemble Parameters'!$B$6+BQ125*'Ensemble Parameters'!$B$8+BR125*'Ensemble Parameters'!$B$7</f>
        <v>1.70334503688586</v>
      </c>
      <c r="BT125" s="16" t="n">
        <f aca="false">'Ensemble Parameters'!$B$11+'Ensemble Parameters'!$B$12*BS125</f>
        <v>117.033450368859</v>
      </c>
      <c r="BU125" s="17" t="n">
        <f aca="false">'Ensemble Parameters'!$B$13*BS125</f>
        <v>23.8468305164021</v>
      </c>
      <c r="BV125" s="18" t="n">
        <f aca="false">RANK(BT125,$BT$5:$BT$125,0)</f>
        <v>12</v>
      </c>
      <c r="BW125" s="15" t="n">
        <f aca="false">STDEV(BM125,BN125,BQ125,BR125)</f>
        <v>0.245661706341832</v>
      </c>
      <c r="BX125" s="19" t="str">
        <f aca="false">IF(BW125&lt;'Ensemble Parameters'!$B$14,"High",IF(BW125&lt;'Ensemble Parameters'!$B$15,"Moderate","Low"))</f>
        <v>High</v>
      </c>
      <c r="BY125" s="19" t="str">
        <f aca="false">IF(BX125="Low","REVIEW — MODEL DISAGREEMENT","")</f>
        <v/>
      </c>
      <c r="BZ125" s="20" t="n">
        <v>4</v>
      </c>
    </row>
  </sheetData>
  <autoFilter ref="A4:BZ125"/>
  <mergeCells count="2">
    <mergeCell ref="A1:BL1"/>
    <mergeCell ref="A2:BL2"/>
  </mergeCells>
  <conditionalFormatting sqref="F5:F12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5:L125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Q5:AQ125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T5:AT125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T5:BT125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V5:BV125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W5:BW125">
    <cfRule type="colorScale" priority="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6"/>
    <col collapsed="false" customWidth="true" hidden="false" outlineLevel="0" max="3" min="3" style="1" width="60"/>
    <col collapsed="false" customWidth="true" hidden="false" outlineLevel="0" max="4" min="4" style="1" width="28"/>
  </cols>
  <sheetData>
    <row r="1" customFormat="false" ht="17.25" hidden="false" customHeight="true" outlineLevel="0" collapsed="false">
      <c r="A1" s="21" t="s">
        <v>338</v>
      </c>
      <c r="B1" s="21"/>
      <c r="C1" s="21"/>
      <c r="D1" s="21"/>
    </row>
    <row r="2" customFormat="false" ht="27.75" hidden="false" customHeight="true" outlineLevel="0" collapsed="false">
      <c r="A2" s="22" t="s">
        <v>339</v>
      </c>
      <c r="B2" s="22"/>
      <c r="C2" s="22"/>
      <c r="D2" s="22"/>
    </row>
    <row r="3" customFormat="false" ht="15" hidden="false" customHeight="true" outlineLevel="0" collapsed="false">
      <c r="A3" s="23"/>
      <c r="B3" s="23"/>
      <c r="C3" s="23"/>
      <c r="D3" s="23"/>
    </row>
    <row r="4" customFormat="false" ht="15" hidden="false" customHeight="true" outlineLevel="0" collapsed="false">
      <c r="A4" s="24" t="s">
        <v>340</v>
      </c>
      <c r="B4" s="24" t="s">
        <v>341</v>
      </c>
      <c r="C4" s="24" t="s">
        <v>342</v>
      </c>
      <c r="D4" s="24" t="s">
        <v>343</v>
      </c>
    </row>
    <row r="5" customFormat="false" ht="15" hidden="false" customHeight="true" outlineLevel="0" collapsed="false">
      <c r="A5" s="23" t="s">
        <v>344</v>
      </c>
      <c r="B5" s="25" t="n">
        <v>0.25</v>
      </c>
      <c r="C5" s="23" t="s">
        <v>345</v>
      </c>
      <c r="D5" s="23" t="s">
        <v>7</v>
      </c>
    </row>
    <row r="6" customFormat="false" ht="15" hidden="false" customHeight="true" outlineLevel="0" collapsed="false">
      <c r="A6" s="23" t="s">
        <v>346</v>
      </c>
      <c r="B6" s="25" t="n">
        <v>0.25</v>
      </c>
      <c r="C6" s="23" t="s">
        <v>347</v>
      </c>
      <c r="D6" s="23" t="s">
        <v>13</v>
      </c>
    </row>
    <row r="7" customFormat="false" ht="15" hidden="false" customHeight="true" outlineLevel="0" collapsed="false">
      <c r="A7" s="23" t="s">
        <v>348</v>
      </c>
      <c r="B7" s="25" t="n">
        <v>0.25</v>
      </c>
      <c r="C7" s="23" t="s">
        <v>349</v>
      </c>
      <c r="D7" s="23" t="s">
        <v>44</v>
      </c>
    </row>
    <row r="8" customFormat="false" ht="27.75" hidden="false" customHeight="true" outlineLevel="0" collapsed="false">
      <c r="A8" s="23" t="s">
        <v>350</v>
      </c>
      <c r="B8" s="25" t="n">
        <v>0.25</v>
      </c>
      <c r="C8" s="23" t="s">
        <v>351</v>
      </c>
      <c r="D8" s="23" t="s">
        <v>352</v>
      </c>
    </row>
    <row r="9" customFormat="false" ht="15" hidden="false" customHeight="true" outlineLevel="0" collapsed="false">
      <c r="A9" s="23"/>
      <c r="B9" s="23"/>
      <c r="C9" s="23"/>
      <c r="D9" s="23"/>
    </row>
    <row r="10" customFormat="false" ht="15" hidden="false" customHeight="true" outlineLevel="0" collapsed="false">
      <c r="A10" s="26" t="s">
        <v>353</v>
      </c>
      <c r="B10" s="23"/>
      <c r="C10" s="23"/>
      <c r="D10" s="23"/>
    </row>
    <row r="11" customFormat="false" ht="15" hidden="false" customHeight="true" outlineLevel="0" collapsed="false">
      <c r="A11" s="23" t="s">
        <v>354</v>
      </c>
      <c r="B11" s="27" t="n">
        <v>100</v>
      </c>
      <c r="C11" s="23" t="s">
        <v>355</v>
      </c>
      <c r="D11" s="23"/>
    </row>
    <row r="12" customFormat="false" ht="15" hidden="false" customHeight="true" outlineLevel="0" collapsed="false">
      <c r="A12" s="23" t="s">
        <v>356</v>
      </c>
      <c r="B12" s="27" t="n">
        <v>10</v>
      </c>
      <c r="C12" s="23" t="s">
        <v>357</v>
      </c>
      <c r="D12" s="23"/>
    </row>
    <row r="13" customFormat="false" ht="15" hidden="false" customHeight="true" outlineLevel="0" collapsed="false">
      <c r="A13" s="23" t="s">
        <v>358</v>
      </c>
      <c r="B13" s="27" t="n">
        <v>14</v>
      </c>
      <c r="C13" s="23" t="s">
        <v>359</v>
      </c>
      <c r="D13" s="23"/>
    </row>
    <row r="14" customFormat="false" ht="27.75" hidden="false" customHeight="true" outlineLevel="0" collapsed="false">
      <c r="A14" s="23" t="s">
        <v>360</v>
      </c>
      <c r="B14" s="27" t="n">
        <v>0.3</v>
      </c>
      <c r="C14" s="23" t="s">
        <v>361</v>
      </c>
      <c r="D14" s="23"/>
    </row>
    <row r="15" customFormat="false" ht="27.75" hidden="false" customHeight="true" outlineLevel="0" collapsed="false">
      <c r="A15" s="23" t="s">
        <v>362</v>
      </c>
      <c r="B15" s="27" t="n">
        <v>0.6</v>
      </c>
      <c r="C15" s="23" t="s">
        <v>363</v>
      </c>
      <c r="D15" s="23"/>
    </row>
    <row r="16" customFormat="false" ht="15" hidden="false" customHeight="true" outlineLevel="0" collapsed="false">
      <c r="A16" s="23"/>
      <c r="B16" s="23"/>
      <c r="C16" s="23"/>
      <c r="D16" s="23"/>
    </row>
    <row r="17" customFormat="false" ht="15" hidden="false" customHeight="true" outlineLevel="0" collapsed="false">
      <c r="A17" s="23"/>
      <c r="B17" s="23"/>
      <c r="C17" s="23"/>
      <c r="D17" s="23"/>
    </row>
    <row r="18" customFormat="false" ht="15" hidden="false" customHeight="true" outlineLevel="0" collapsed="false">
      <c r="A18" s="28" t="s">
        <v>364</v>
      </c>
      <c r="B18" s="23"/>
      <c r="C18" s="23"/>
      <c r="D18" s="23"/>
    </row>
    <row r="19" customFormat="false" ht="15" hidden="false" customHeight="true" outlineLevel="0" collapsed="false">
      <c r="A19" s="24" t="s">
        <v>365</v>
      </c>
      <c r="B19" s="24" t="s">
        <v>366</v>
      </c>
      <c r="C19" s="24" t="s">
        <v>367</v>
      </c>
      <c r="D19" s="24" t="s">
        <v>368</v>
      </c>
    </row>
    <row r="20" customFormat="false" ht="15" hidden="false" customHeight="true" outlineLevel="0" collapsed="false">
      <c r="A20" s="23" t="s">
        <v>344</v>
      </c>
      <c r="B20" s="29" t="n">
        <f aca="false">AVERAGE('Master Ratings'!F5:F125)</f>
        <v>25.1494226461405</v>
      </c>
      <c r="C20" s="29" t="n">
        <f aca="false">STDEV('Master Ratings'!F5:F125)</f>
        <v>4.35928836282486</v>
      </c>
      <c r="D20" s="23" t="s">
        <v>369</v>
      </c>
    </row>
    <row r="21" customFormat="false" ht="15" hidden="false" customHeight="true" outlineLevel="0" collapsed="false">
      <c r="A21" s="23" t="s">
        <v>346</v>
      </c>
      <c r="B21" s="29" t="n">
        <f aca="false">AVERAGE('Master Ratings'!L5:L125)</f>
        <v>0</v>
      </c>
      <c r="C21" s="29" t="n">
        <f aca="false">STDEV('Master Ratings'!L5:L125)</f>
        <v>9.54007859451885</v>
      </c>
      <c r="D21" s="23" t="s">
        <v>370</v>
      </c>
    </row>
    <row r="22" customFormat="false" ht="15" hidden="false" customHeight="true" outlineLevel="0" collapsed="false">
      <c r="A22" s="23" t="s">
        <v>371</v>
      </c>
      <c r="B22" s="29" t="n">
        <f aca="false">AVERAGE('Master Ratings'!S5:S125)</f>
        <v>0.477925892561984</v>
      </c>
      <c r="C22" s="29" t="n">
        <f aca="false">STDEV('Master Ratings'!S5:S125)</f>
        <v>0.14339718564206</v>
      </c>
      <c r="D22" s="23" t="s">
        <v>372</v>
      </c>
    </row>
    <row r="23" customFormat="false" ht="15" hidden="false" customHeight="true" outlineLevel="0" collapsed="false">
      <c r="A23" s="23" t="s">
        <v>373</v>
      </c>
      <c r="B23" s="29" t="n">
        <f aca="false">AVERAGE('Master Ratings'!W5:W125)</f>
        <v>0.488572704315886</v>
      </c>
      <c r="C23" s="29" t="n">
        <f aca="false">STDEV('Master Ratings'!W5:W125)</f>
        <v>0.127624569655263</v>
      </c>
      <c r="D23" s="23" t="s">
        <v>374</v>
      </c>
    </row>
    <row r="24" customFormat="false" ht="15" hidden="false" customHeight="true" outlineLevel="0" collapsed="false">
      <c r="A24" s="23" t="s">
        <v>348</v>
      </c>
      <c r="B24" s="29" t="n">
        <f aca="false">AVERAGE('Master Ratings'!AQ5:AQ125)</f>
        <v>-0.0855901237090821</v>
      </c>
      <c r="C24" s="29" t="n">
        <f aca="false">STDEV('Master Ratings'!AQ5:AQ125)</f>
        <v>15.0707902024811</v>
      </c>
      <c r="D24" s="23" t="s">
        <v>375</v>
      </c>
    </row>
    <row r="25" customFormat="false" ht="15" hidden="false" customHeight="true" outlineLevel="0" collapsed="false">
      <c r="A25" s="23"/>
      <c r="B25" s="23"/>
      <c r="C25" s="23"/>
      <c r="D25" s="23"/>
    </row>
    <row r="26" customFormat="false" ht="15" hidden="false" customHeight="true" outlineLevel="0" collapsed="false">
      <c r="A26" s="23"/>
      <c r="B26" s="23"/>
      <c r="C26" s="23"/>
      <c r="D26" s="23"/>
    </row>
    <row r="27" customFormat="false" ht="15" hidden="false" customHeight="true" outlineLevel="0" collapsed="false">
      <c r="A27" s="30" t="s">
        <v>376</v>
      </c>
      <c r="B27" s="23"/>
      <c r="C27" s="23"/>
      <c r="D27" s="23"/>
    </row>
    <row r="28" customFormat="false" ht="15" hidden="false" customHeight="true" outlineLevel="0" collapsed="false">
      <c r="A28" s="23" t="s">
        <v>377</v>
      </c>
      <c r="B28" s="23"/>
      <c r="C28" s="23"/>
      <c r="D28" s="23"/>
    </row>
    <row r="29" customFormat="false" ht="15" hidden="false" customHeight="true" outlineLevel="0" collapsed="false">
      <c r="A29" s="23" t="s">
        <v>378</v>
      </c>
      <c r="B29" s="23"/>
      <c r="C29" s="23"/>
      <c r="D29" s="23"/>
    </row>
    <row r="30" customFormat="false" ht="15" hidden="false" customHeight="true" outlineLevel="0" collapsed="false">
      <c r="A30" s="23" t="s">
        <v>379</v>
      </c>
      <c r="B30" s="23"/>
      <c r="C30" s="23"/>
      <c r="D30" s="23"/>
    </row>
    <row r="31" customFormat="false" ht="15" hidden="false" customHeight="true" outlineLevel="0" collapsed="false">
      <c r="A31" s="23" t="s">
        <v>380</v>
      </c>
      <c r="B31" s="23"/>
      <c r="C31" s="23"/>
      <c r="D31" s="23"/>
    </row>
    <row r="32" customFormat="false" ht="15" hidden="false" customHeight="true" outlineLevel="0" collapsed="false">
      <c r="A32" s="23" t="s">
        <v>381</v>
      </c>
      <c r="B32" s="23"/>
      <c r="C32" s="23"/>
      <c r="D32" s="23"/>
    </row>
    <row r="33" customFormat="false" ht="27.75" hidden="false" customHeight="true" outlineLevel="0" collapsed="false">
      <c r="A33" s="23" t="s">
        <v>382</v>
      </c>
      <c r="B33" s="23"/>
      <c r="C33" s="23"/>
      <c r="D33" s="23"/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60"/>
    <col collapsed="false" customWidth="true" hidden="false" outlineLevel="0" max="3" min="3" style="1" width="80"/>
  </cols>
  <sheetData>
    <row r="1" customFormat="false" ht="15" hidden="false" customHeight="true" outlineLevel="0" collapsed="false">
      <c r="A1" s="6" t="s">
        <v>383</v>
      </c>
      <c r="B1" s="6" t="s">
        <v>384</v>
      </c>
      <c r="C1" s="6" t="s">
        <v>385</v>
      </c>
    </row>
    <row r="2" customFormat="false" ht="27.75" hidden="false" customHeight="true" outlineLevel="0" collapsed="false">
      <c r="A2" s="23" t="s">
        <v>7</v>
      </c>
      <c r="B2" s="23" t="s">
        <v>386</v>
      </c>
      <c r="C2" s="23" t="s">
        <v>387</v>
      </c>
    </row>
    <row r="3" customFormat="false" ht="15" hidden="false" customHeight="true" outlineLevel="0" collapsed="false">
      <c r="A3" s="23" t="s">
        <v>9</v>
      </c>
      <c r="B3" s="23" t="s">
        <v>388</v>
      </c>
      <c r="C3" s="23" t="s">
        <v>389</v>
      </c>
    </row>
    <row r="4" customFormat="false" ht="15" hidden="false" customHeight="true" outlineLevel="0" collapsed="false">
      <c r="A4" s="23" t="s">
        <v>10</v>
      </c>
      <c r="B4" s="23" t="s">
        <v>390</v>
      </c>
      <c r="C4" s="23" t="s">
        <v>391</v>
      </c>
    </row>
    <row r="5" customFormat="false" ht="15" hidden="false" customHeight="true" outlineLevel="0" collapsed="false">
      <c r="A5" s="23" t="s">
        <v>13</v>
      </c>
      <c r="B5" s="23" t="s">
        <v>392</v>
      </c>
      <c r="C5" s="23" t="s">
        <v>393</v>
      </c>
    </row>
    <row r="6" customFormat="false" ht="15" hidden="false" customHeight="true" outlineLevel="0" collapsed="false">
      <c r="A6" s="23" t="s">
        <v>14</v>
      </c>
      <c r="B6" s="23" t="s">
        <v>394</v>
      </c>
      <c r="C6" s="23" t="s">
        <v>395</v>
      </c>
    </row>
    <row r="7" customFormat="false" ht="27.75" hidden="false" customHeight="true" outlineLevel="0" collapsed="false">
      <c r="A7" s="23" t="s">
        <v>396</v>
      </c>
      <c r="B7" s="23" t="s">
        <v>397</v>
      </c>
      <c r="C7" s="23" t="s">
        <v>398</v>
      </c>
    </row>
    <row r="8" customFormat="false" ht="15" hidden="false" customHeight="true" outlineLevel="0" collapsed="false">
      <c r="A8" s="23" t="s">
        <v>20</v>
      </c>
      <c r="B8" s="23" t="s">
        <v>399</v>
      </c>
      <c r="C8" s="23" t="s">
        <v>400</v>
      </c>
    </row>
    <row r="9" customFormat="false" ht="27.75" hidden="false" customHeight="true" outlineLevel="0" collapsed="false">
      <c r="A9" s="23" t="s">
        <v>22</v>
      </c>
      <c r="B9" s="23" t="s">
        <v>401</v>
      </c>
      <c r="C9" s="23" t="s">
        <v>402</v>
      </c>
    </row>
    <row r="10" customFormat="false" ht="15" hidden="false" customHeight="true" outlineLevel="0" collapsed="false">
      <c r="A10" s="23" t="s">
        <v>403</v>
      </c>
      <c r="B10" s="23" t="s">
        <v>404</v>
      </c>
      <c r="C10" s="23" t="s">
        <v>405</v>
      </c>
    </row>
    <row r="11" customFormat="false" ht="15" hidden="false" customHeight="true" outlineLevel="0" collapsed="false">
      <c r="A11" s="23" t="s">
        <v>406</v>
      </c>
      <c r="B11" s="23" t="s">
        <v>407</v>
      </c>
      <c r="C11" s="23" t="s">
        <v>408</v>
      </c>
    </row>
    <row r="12" customFormat="false" ht="15" hidden="false" customHeight="true" outlineLevel="0" collapsed="false">
      <c r="A12" s="23" t="s">
        <v>409</v>
      </c>
      <c r="B12" s="23" t="s">
        <v>410</v>
      </c>
      <c r="C12" s="23" t="s">
        <v>411</v>
      </c>
    </row>
    <row r="13" customFormat="false" ht="27.75" hidden="false" customHeight="true" outlineLevel="0" collapsed="false">
      <c r="A13" s="23" t="s">
        <v>412</v>
      </c>
      <c r="B13" s="23" t="s">
        <v>413</v>
      </c>
      <c r="C13" s="23" t="s">
        <v>414</v>
      </c>
    </row>
    <row r="14" customFormat="false" ht="27.75" hidden="false" customHeight="true" outlineLevel="0" collapsed="false">
      <c r="A14" s="23" t="s">
        <v>415</v>
      </c>
      <c r="B14" s="23" t="s">
        <v>416</v>
      </c>
      <c r="C14" s="23" t="s">
        <v>417</v>
      </c>
    </row>
    <row r="15" customFormat="false" ht="27.75" hidden="false" customHeight="true" outlineLevel="0" collapsed="false">
      <c r="A15" s="23" t="s">
        <v>40</v>
      </c>
      <c r="B15" s="23" t="s">
        <v>418</v>
      </c>
      <c r="C15" s="23" t="s">
        <v>419</v>
      </c>
    </row>
    <row r="16" customFormat="false" ht="27.75" hidden="false" customHeight="true" outlineLevel="0" collapsed="false">
      <c r="A16" s="23" t="s">
        <v>44</v>
      </c>
      <c r="B16" s="23" t="s">
        <v>420</v>
      </c>
      <c r="C16" s="23" t="s">
        <v>421</v>
      </c>
    </row>
    <row r="17" customFormat="false" ht="27.75" hidden="false" customHeight="true" outlineLevel="0" collapsed="false">
      <c r="A17" s="23" t="s">
        <v>46</v>
      </c>
      <c r="B17" s="23" t="s">
        <v>422</v>
      </c>
      <c r="C17" s="23" t="s">
        <v>423</v>
      </c>
    </row>
    <row r="18" customFormat="false" ht="15" hidden="false" customHeight="true" outlineLevel="0" collapsed="false">
      <c r="A18" s="23" t="s">
        <v>47</v>
      </c>
      <c r="B18" s="23" t="s">
        <v>424</v>
      </c>
      <c r="C18" s="23" t="s">
        <v>425</v>
      </c>
    </row>
    <row r="19" customFormat="false" ht="27.75" hidden="false" customHeight="true" outlineLevel="0" collapsed="false">
      <c r="A19" s="23" t="s">
        <v>49</v>
      </c>
      <c r="B19" s="23" t="s">
        <v>426</v>
      </c>
      <c r="C19" s="23" t="s">
        <v>427</v>
      </c>
    </row>
    <row r="20" customFormat="false" ht="27.75" hidden="false" customHeight="true" outlineLevel="0" collapsed="false">
      <c r="A20" s="23" t="s">
        <v>52</v>
      </c>
      <c r="B20" s="23" t="s">
        <v>428</v>
      </c>
      <c r="C20" s="23" t="s">
        <v>429</v>
      </c>
    </row>
    <row r="21" customFormat="false" ht="15" hidden="false" customHeight="true" outlineLevel="0" collapsed="false">
      <c r="A21" s="23" t="s">
        <v>53</v>
      </c>
      <c r="B21" s="23" t="s">
        <v>430</v>
      </c>
      <c r="C21" s="23" t="s">
        <v>431</v>
      </c>
    </row>
    <row r="22" customFormat="false" ht="15" hidden="false" customHeight="true" outlineLevel="0" collapsed="false">
      <c r="A22" s="23" t="s">
        <v>59</v>
      </c>
      <c r="B22" s="23" t="s">
        <v>432</v>
      </c>
      <c r="C22" s="23" t="s">
        <v>433</v>
      </c>
    </row>
    <row r="23" customFormat="false" ht="27.75" hidden="false" customHeight="true" outlineLevel="0" collapsed="false">
      <c r="A23" s="23" t="s">
        <v>64</v>
      </c>
      <c r="B23" s="23" t="s">
        <v>434</v>
      </c>
      <c r="C23" s="23" t="s">
        <v>435</v>
      </c>
    </row>
    <row r="25" customFormat="false" ht="15" hidden="false" customHeight="true" outlineLevel="0" collapsed="false">
      <c r="A25" s="31" t="s">
        <v>436</v>
      </c>
    </row>
    <row r="26" customFormat="false" ht="15" hidden="false" customHeight="true" outlineLevel="0" collapsed="false">
      <c r="A26" s="1" t="s">
        <v>66</v>
      </c>
      <c r="B26" s="1" t="s">
        <v>437</v>
      </c>
    </row>
    <row r="27" customFormat="false" ht="15" hidden="false" customHeight="true" outlineLevel="0" collapsed="false">
      <c r="A27" s="1" t="s">
        <v>67</v>
      </c>
      <c r="B27" s="1" t="s">
        <v>438</v>
      </c>
    </row>
    <row r="28" customFormat="false" ht="15" hidden="false" customHeight="true" outlineLevel="0" collapsed="false">
      <c r="A28" s="1" t="s">
        <v>70</v>
      </c>
      <c r="B28" s="1" t="s">
        <v>439</v>
      </c>
    </row>
    <row r="29" customFormat="false" ht="15" hidden="false" customHeight="true" outlineLevel="0" collapsed="false">
      <c r="A29" s="1" t="s">
        <v>71</v>
      </c>
      <c r="B29" s="1" t="s">
        <v>440</v>
      </c>
    </row>
    <row r="30" customFormat="false" ht="15" hidden="false" customHeight="true" outlineLevel="0" collapsed="false">
      <c r="A30" s="1" t="s">
        <v>72</v>
      </c>
      <c r="B30" s="1" t="s">
        <v>441</v>
      </c>
    </row>
    <row r="31" customFormat="false" ht="15" hidden="false" customHeight="true" outlineLevel="0" collapsed="false">
      <c r="A31" s="1" t="s">
        <v>73</v>
      </c>
      <c r="B31" s="1" t="s">
        <v>442</v>
      </c>
    </row>
    <row r="32" customFormat="false" ht="15" hidden="false" customHeight="true" outlineLevel="0" collapsed="false">
      <c r="A32" s="1" t="s">
        <v>74</v>
      </c>
      <c r="B32" s="1" t="s">
        <v>443</v>
      </c>
    </row>
    <row r="33" customFormat="false" ht="15" hidden="false" customHeight="true" outlineLevel="0" collapsed="false">
      <c r="A33" s="1" t="s">
        <v>76</v>
      </c>
      <c r="B33" s="1" t="s">
        <v>444</v>
      </c>
    </row>
    <row r="34" customFormat="false" ht="15" hidden="false" customHeight="true" outlineLevel="0" collapsed="false">
      <c r="A34" s="1" t="s">
        <v>77</v>
      </c>
      <c r="B34" s="1" t="s">
        <v>445</v>
      </c>
    </row>
    <row r="35" customFormat="false" ht="15" hidden="false" customHeight="true" outlineLevel="0" collapsed="false">
      <c r="A35" s="1" t="s">
        <v>78</v>
      </c>
      <c r="B35" s="1" t="s">
        <v>446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2"/>
  </cols>
  <sheetData>
    <row r="1" customFormat="false" ht="15" hidden="false" customHeight="true" outlineLevel="0" collapsed="false">
      <c r="A1" s="6" t="s">
        <v>447</v>
      </c>
      <c r="B1" s="6" t="s">
        <v>448</v>
      </c>
      <c r="C1" s="6" t="s">
        <v>449</v>
      </c>
      <c r="D1" s="6" t="s">
        <v>450</v>
      </c>
    </row>
    <row r="2" customFormat="false" ht="15" hidden="false" customHeight="true" outlineLevel="0" collapsed="false">
      <c r="A2" s="23" t="s">
        <v>451</v>
      </c>
      <c r="B2" s="23" t="n">
        <v>121</v>
      </c>
      <c r="C2" s="23" t="n">
        <v>121</v>
      </c>
      <c r="D2" s="23" t="s">
        <v>86</v>
      </c>
    </row>
    <row r="3" customFormat="false" ht="15" hidden="false" customHeight="true" outlineLevel="0" collapsed="false">
      <c r="A3" s="23" t="s">
        <v>452</v>
      </c>
      <c r="B3" s="23" t="n">
        <v>121</v>
      </c>
      <c r="C3" s="23" t="n">
        <v>121</v>
      </c>
      <c r="D3" s="23" t="s">
        <v>86</v>
      </c>
    </row>
    <row r="4" customFormat="false" ht="15" hidden="false" customHeight="true" outlineLevel="0" collapsed="false">
      <c r="A4" s="23" t="s">
        <v>453</v>
      </c>
      <c r="B4" s="23" t="n">
        <v>121</v>
      </c>
      <c r="C4" s="23" t="n">
        <v>121</v>
      </c>
      <c r="D4" s="23" t="s">
        <v>86</v>
      </c>
    </row>
    <row r="5" customFormat="false" ht="15" hidden="false" customHeight="true" outlineLevel="0" collapsed="false">
      <c r="A5" s="23" t="s">
        <v>454</v>
      </c>
      <c r="B5" s="23" t="n">
        <v>0</v>
      </c>
      <c r="C5" s="23" t="n">
        <v>0</v>
      </c>
      <c r="D5" s="23" t="s">
        <v>86</v>
      </c>
    </row>
    <row r="6" customFormat="false" ht="15" hidden="false" customHeight="true" outlineLevel="0" collapsed="false">
      <c r="A6" s="23" t="s">
        <v>455</v>
      </c>
      <c r="B6" s="23" t="n">
        <v>0</v>
      </c>
      <c r="C6" s="23" t="n">
        <v>0</v>
      </c>
      <c r="D6" s="23" t="s">
        <v>86</v>
      </c>
    </row>
    <row r="7" customFormat="false" ht="15" hidden="false" customHeight="true" outlineLevel="0" collapsed="false">
      <c r="A7" s="23" t="s">
        <v>456</v>
      </c>
      <c r="B7" s="23" t="n">
        <v>0</v>
      </c>
      <c r="C7" s="23" t="n">
        <v>0</v>
      </c>
      <c r="D7" s="23" t="s">
        <v>86</v>
      </c>
    </row>
    <row r="8" customFormat="false" ht="15" hidden="false" customHeight="true" outlineLevel="0" collapsed="false">
      <c r="A8" s="23" t="s">
        <v>457</v>
      </c>
      <c r="B8" s="23" t="n">
        <v>10</v>
      </c>
      <c r="C8" s="23" t="n">
        <v>10</v>
      </c>
      <c r="D8" s="23" t="s">
        <v>86</v>
      </c>
    </row>
    <row r="9" customFormat="false" ht="15" hidden="false" customHeight="true" outlineLevel="0" collapsed="false">
      <c r="A9" s="23" t="s">
        <v>458</v>
      </c>
      <c r="B9" s="23" t="n">
        <v>121</v>
      </c>
      <c r="C9" s="23" t="n">
        <v>121</v>
      </c>
      <c r="D9" s="23" t="s">
        <v>86</v>
      </c>
    </row>
    <row r="10" customFormat="false" ht="15" hidden="false" customHeight="true" outlineLevel="0" collapsed="false">
      <c r="A10" s="23" t="s">
        <v>459</v>
      </c>
      <c r="B10" s="23" t="n">
        <v>0</v>
      </c>
      <c r="C10" s="23" t="n">
        <v>0</v>
      </c>
      <c r="D10" s="23" t="s">
        <v>86</v>
      </c>
    </row>
    <row r="11" customFormat="false" ht="15" hidden="false" customHeight="true" outlineLevel="0" collapsed="false">
      <c r="A11" s="23" t="s">
        <v>460</v>
      </c>
      <c r="B11" s="23" t="n">
        <v>121</v>
      </c>
      <c r="C11" s="23" t="n">
        <v>121</v>
      </c>
      <c r="D11" s="23" t="s">
        <v>86</v>
      </c>
    </row>
    <row r="12" customFormat="false" ht="15" hidden="false" customHeight="true" outlineLevel="0" collapsed="false">
      <c r="A12" s="23" t="s">
        <v>461</v>
      </c>
      <c r="B12" s="23" t="n">
        <v>0</v>
      </c>
      <c r="C12" s="23" t="n">
        <v>0</v>
      </c>
      <c r="D12" s="23" t="s">
        <v>86</v>
      </c>
    </row>
    <row r="13" customFormat="false" ht="27.75" hidden="false" customHeight="true" outlineLevel="0" collapsed="false">
      <c r="A13" s="23" t="s">
        <v>462</v>
      </c>
      <c r="B13" s="23" t="s">
        <v>463</v>
      </c>
      <c r="C13" s="23" t="s">
        <v>464</v>
      </c>
      <c r="D13" s="23" t="s">
        <v>89</v>
      </c>
    </row>
    <row r="14" customFormat="false" ht="15" hidden="false" customHeight="true" outlineLevel="0" collapsed="false">
      <c r="A14" s="23" t="s">
        <v>465</v>
      </c>
      <c r="B14" s="23" t="n">
        <v>121</v>
      </c>
      <c r="C14" s="23" t="n">
        <v>121</v>
      </c>
      <c r="D14" s="23" t="s">
        <v>86</v>
      </c>
    </row>
    <row r="15" customFormat="false" ht="15" hidden="false" customHeight="true" outlineLevel="0" collapsed="false">
      <c r="A15" s="23" t="s">
        <v>466</v>
      </c>
      <c r="B15" s="23" t="n">
        <v>121</v>
      </c>
      <c r="C15" s="23" t="n">
        <v>121</v>
      </c>
      <c r="D15" s="23" t="s">
        <v>86</v>
      </c>
    </row>
    <row r="16" customFormat="false" ht="27.75" hidden="false" customHeight="true" outlineLevel="0" collapsed="false">
      <c r="A16" s="23" t="s">
        <v>467</v>
      </c>
      <c r="B16" s="23" t="n">
        <v>121</v>
      </c>
      <c r="C16" s="23" t="n">
        <v>121</v>
      </c>
      <c r="D16" s="23" t="s">
        <v>86</v>
      </c>
    </row>
    <row r="17" customFormat="false" ht="27.75" hidden="false" customHeight="true" outlineLevel="0" collapsed="false">
      <c r="A17" s="23" t="s">
        <v>468</v>
      </c>
      <c r="B17" s="23" t="n">
        <v>0</v>
      </c>
      <c r="C17" s="23" t="n">
        <v>0</v>
      </c>
      <c r="D17" s="23" t="s">
        <v>86</v>
      </c>
    </row>
    <row r="18" customFormat="false" ht="15" hidden="false" customHeight="true" outlineLevel="0" collapsed="false">
      <c r="A18" s="23" t="s">
        <v>469</v>
      </c>
      <c r="B18" s="23" t="n">
        <v>121</v>
      </c>
      <c r="C18" s="23" t="n">
        <v>121</v>
      </c>
      <c r="D18" s="23" t="s">
        <v>86</v>
      </c>
    </row>
    <row r="19" customFormat="false" ht="15" hidden="false" customHeight="true" outlineLevel="0" collapsed="false">
      <c r="A19" s="23" t="s">
        <v>470</v>
      </c>
      <c r="B19" s="23" t="n">
        <v>0</v>
      </c>
      <c r="C19" s="23" t="n">
        <v>0</v>
      </c>
      <c r="D19" s="23" t="s">
        <v>86</v>
      </c>
    </row>
    <row r="20" customFormat="false" ht="15" hidden="false" customHeight="true" outlineLevel="0" collapsed="false">
      <c r="A20" s="23" t="s">
        <v>471</v>
      </c>
      <c r="B20" s="23" t="n">
        <v>121</v>
      </c>
      <c r="C20" s="23" t="n">
        <v>121</v>
      </c>
      <c r="D20" s="23" t="s">
        <v>86</v>
      </c>
    </row>
    <row r="21" customFormat="false" ht="15" hidden="false" customHeight="true" outlineLevel="0" collapsed="false">
      <c r="A21" s="23" t="s">
        <v>472</v>
      </c>
      <c r="B21" s="23" t="n">
        <v>121</v>
      </c>
      <c r="C21" s="23" t="n">
        <v>121</v>
      </c>
      <c r="D21" s="23" t="s">
        <v>86</v>
      </c>
    </row>
    <row r="22" customFormat="false" ht="54.75" hidden="false" customHeight="true" outlineLevel="0" collapsed="false">
      <c r="A22" s="23" t="s">
        <v>473</v>
      </c>
      <c r="B22" s="23" t="s">
        <v>474</v>
      </c>
      <c r="C22" s="23" t="s">
        <v>475</v>
      </c>
      <c r="D22" s="23" t="s">
        <v>86</v>
      </c>
    </row>
    <row r="23" customFormat="false" ht="27.75" hidden="false" customHeight="true" outlineLevel="0" collapsed="false">
      <c r="A23" s="23" t="s">
        <v>476</v>
      </c>
      <c r="B23" s="23" t="n">
        <v>121</v>
      </c>
      <c r="C23" s="23" t="n">
        <v>121</v>
      </c>
      <c r="D23" s="23" t="s">
        <v>86</v>
      </c>
    </row>
    <row r="24" customFormat="false" ht="15" hidden="false" customHeight="true" outlineLevel="0" collapsed="false">
      <c r="A24" s="23" t="s">
        <v>477</v>
      </c>
      <c r="B24" s="23" t="n">
        <v>121</v>
      </c>
      <c r="C24" s="23" t="n">
        <v>121</v>
      </c>
      <c r="D24" s="23" t="s">
        <v>86</v>
      </c>
    </row>
    <row r="25" customFormat="false" ht="15" hidden="false" customHeight="true" outlineLevel="0" collapsed="false">
      <c r="A25" s="23" t="s">
        <v>478</v>
      </c>
      <c r="B25" s="23" t="n">
        <v>121</v>
      </c>
      <c r="C25" s="23" t="n">
        <v>121</v>
      </c>
      <c r="D25" s="23" t="s">
        <v>86</v>
      </c>
    </row>
    <row r="26" customFormat="false" ht="15" hidden="false" customHeight="true" outlineLevel="0" collapsed="false">
      <c r="A26" s="23" t="s">
        <v>479</v>
      </c>
      <c r="B26" s="23" t="n">
        <v>0</v>
      </c>
      <c r="C26" s="23" t="n">
        <v>0</v>
      </c>
      <c r="D26" s="23" t="s">
        <v>86</v>
      </c>
    </row>
    <row r="27" customFormat="false" ht="15" hidden="false" customHeight="true" outlineLevel="0" collapsed="false">
      <c r="A27" s="23" t="s">
        <v>480</v>
      </c>
      <c r="B27" s="23" t="n">
        <v>0</v>
      </c>
      <c r="C27" s="23" t="n">
        <v>0</v>
      </c>
      <c r="D27" s="23" t="s">
        <v>86</v>
      </c>
    </row>
    <row r="28" customFormat="false" ht="27.75" hidden="false" customHeight="true" outlineLevel="0" collapsed="false">
      <c r="A28" s="23" t="s">
        <v>481</v>
      </c>
      <c r="B28" s="23" t="n">
        <v>0</v>
      </c>
      <c r="C28" s="23" t="n">
        <v>0</v>
      </c>
      <c r="D28" s="23" t="s">
        <v>86</v>
      </c>
    </row>
    <row r="29" customFormat="false" ht="15" hidden="false" customHeight="true" outlineLevel="0" collapsed="false">
      <c r="A29" s="23" t="s">
        <v>482</v>
      </c>
      <c r="B29" s="23" t="n">
        <v>0</v>
      </c>
      <c r="C29" s="23" t="n">
        <v>0</v>
      </c>
      <c r="D29" s="23" t="s">
        <v>86</v>
      </c>
    </row>
    <row r="31" customFormat="false" ht="15" hidden="false" customHeight="true" outlineLevel="0" collapsed="false">
      <c r="A31" s="31" t="s">
        <v>483</v>
      </c>
    </row>
    <row r="32" customFormat="false" ht="15" hidden="false" customHeight="true" outlineLevel="0" collapsed="false">
      <c r="A32" s="1" t="s">
        <v>484</v>
      </c>
      <c r="B32" s="1" t="n">
        <f aca="false">COUNTA('Master Ratings'!B5:B125)</f>
        <v>121</v>
      </c>
      <c r="C32" s="1" t="n">
        <v>121</v>
      </c>
      <c r="D32" s="1" t="str">
        <f aca="false">IF(B32=C32,"PASS","FAIL")</f>
        <v>PASS</v>
      </c>
    </row>
    <row r="33" customFormat="false" ht="15" hidden="false" customHeight="true" outlineLevel="0" collapsed="false">
      <c r="A33" s="1" t="s">
        <v>485</v>
      </c>
      <c r="B33" s="32" t="n">
        <f aca="false">SUM('Ensemble Parameters'!B5:B8)</f>
        <v>1</v>
      </c>
      <c r="C33" s="1" t="n">
        <v>1</v>
      </c>
      <c r="D33" s="1" t="str">
        <f aca="false">IF(B33=C33,"PASS","FAIL")</f>
        <v>PASS</v>
      </c>
    </row>
    <row r="34" customFormat="false" ht="15" hidden="false" customHeight="true" outlineLevel="0" collapsed="false">
      <c r="A34" s="1" t="s">
        <v>486</v>
      </c>
      <c r="B34" s="1" t="n">
        <f aca="false">COUNT('Master Ratings'!BT5:BT125)</f>
        <v>121</v>
      </c>
      <c r="C34" s="1" t="n">
        <v>121</v>
      </c>
      <c r="D34" s="1" t="str">
        <f aca="false">IF(B34=C34,"PASS","FAIL")</f>
        <v>PASS</v>
      </c>
    </row>
    <row r="35" customFormat="false" ht="15" hidden="false" customHeight="true" outlineLevel="0" collapsed="false">
      <c r="A35" s="1" t="s">
        <v>487</v>
      </c>
      <c r="B35" s="1" t="n">
        <f aca="false">COUNT('Master Ratings'!BV5:BV125)</f>
        <v>121</v>
      </c>
      <c r="C35" s="1" t="n">
        <v>121</v>
      </c>
      <c r="D35" s="1" t="str">
        <f aca="false">IF(B35=C35,"PASS","FAIL")</f>
        <v>PASS</v>
      </c>
    </row>
    <row r="36" customFormat="false" ht="15" hidden="false" customHeight="true" outlineLevel="0" collapsed="false">
      <c r="A36" s="1" t="s">
        <v>488</v>
      </c>
      <c r="B36" s="1" t="n">
        <f aca="false">MIN('Master Ratings'!BZ5:BZ125)</f>
        <v>4</v>
      </c>
      <c r="C36" s="1" t="n">
        <v>4</v>
      </c>
      <c r="D36" s="1" t="str">
        <f aca="false">IF(B36=C36,"PASS","FAIL")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38"/>
    <col collapsed="false" customWidth="true" hidden="false" outlineLevel="0" max="3" min="3" style="1" width="55"/>
    <col collapsed="false" customWidth="true" hidden="false" outlineLevel="0" max="4" min="4" style="1" width="65"/>
  </cols>
  <sheetData>
    <row r="1" customFormat="false" ht="15" hidden="false" customHeight="true" outlineLevel="0" collapsed="false">
      <c r="A1" s="6" t="s">
        <v>489</v>
      </c>
      <c r="B1" s="6" t="s">
        <v>490</v>
      </c>
      <c r="C1" s="6" t="s">
        <v>491</v>
      </c>
      <c r="D1" s="6" t="s">
        <v>492</v>
      </c>
    </row>
    <row r="2" customFormat="false" ht="27.75" hidden="false" customHeight="true" outlineLevel="0" collapsed="false">
      <c r="A2" s="23" t="s">
        <v>493</v>
      </c>
      <c r="B2" s="23" t="s">
        <v>494</v>
      </c>
      <c r="C2" s="23" t="s">
        <v>495</v>
      </c>
      <c r="D2" s="23" t="s">
        <v>496</v>
      </c>
    </row>
    <row r="3" customFormat="false" ht="27.75" hidden="false" customHeight="true" outlineLevel="0" collapsed="false">
      <c r="A3" s="23" t="s">
        <v>497</v>
      </c>
      <c r="B3" s="23" t="s">
        <v>498</v>
      </c>
      <c r="C3" s="23" t="s">
        <v>499</v>
      </c>
      <c r="D3" s="23" t="s">
        <v>500</v>
      </c>
    </row>
    <row r="4" customFormat="false" ht="27.75" hidden="false" customHeight="true" outlineLevel="0" collapsed="false">
      <c r="A4" s="23" t="s">
        <v>501</v>
      </c>
      <c r="B4" s="23" t="s">
        <v>502</v>
      </c>
      <c r="C4" s="23" t="s">
        <v>503</v>
      </c>
      <c r="D4" s="23" t="s">
        <v>504</v>
      </c>
    </row>
    <row r="5" customFormat="false" ht="15" hidden="false" customHeight="true" outlineLevel="0" collapsed="false">
      <c r="A5" s="23" t="s">
        <v>505</v>
      </c>
      <c r="B5" s="23" t="s">
        <v>506</v>
      </c>
      <c r="C5" s="23" t="s">
        <v>507</v>
      </c>
      <c r="D5" s="23" t="s">
        <v>508</v>
      </c>
    </row>
    <row r="6" customFormat="false" ht="27.75" hidden="false" customHeight="true" outlineLevel="0" collapsed="false">
      <c r="A6" s="23" t="s">
        <v>509</v>
      </c>
      <c r="B6" s="23" t="s">
        <v>510</v>
      </c>
      <c r="C6" s="23" t="s">
        <v>511</v>
      </c>
      <c r="D6" s="23" t="s">
        <v>512</v>
      </c>
    </row>
    <row r="7" customFormat="false" ht="27.75" hidden="false" customHeight="true" outlineLevel="0" collapsed="false">
      <c r="A7" s="23" t="s">
        <v>513</v>
      </c>
      <c r="B7" s="23" t="s">
        <v>514</v>
      </c>
      <c r="C7" s="23" t="s">
        <v>515</v>
      </c>
      <c r="D7" s="23" t="s">
        <v>516</v>
      </c>
    </row>
    <row r="8" customFormat="false" ht="27.75" hidden="false" customHeight="true" outlineLevel="0" collapsed="false">
      <c r="A8" s="23" t="s">
        <v>517</v>
      </c>
      <c r="B8" s="23" t="s">
        <v>518</v>
      </c>
      <c r="C8" s="23" t="s">
        <v>519</v>
      </c>
      <c r="D8" s="23" t="s">
        <v>520</v>
      </c>
    </row>
    <row r="9" customFormat="false" ht="27.75" hidden="false" customHeight="true" outlineLevel="0" collapsed="false">
      <c r="A9" s="23" t="s">
        <v>521</v>
      </c>
      <c r="B9" s="23" t="s">
        <v>522</v>
      </c>
      <c r="C9" s="23" t="s">
        <v>523</v>
      </c>
      <c r="D9" s="23" t="s">
        <v>524</v>
      </c>
    </row>
    <row r="10" customFormat="false" ht="27.75" hidden="false" customHeight="true" outlineLevel="0" collapsed="false">
      <c r="A10" s="23" t="s">
        <v>525</v>
      </c>
      <c r="B10" s="23" t="s">
        <v>526</v>
      </c>
      <c r="C10" s="23" t="s">
        <v>527</v>
      </c>
      <c r="D10" s="23" t="s">
        <v>528</v>
      </c>
    </row>
    <row r="12" customFormat="false" ht="15" hidden="false" customHeight="true" outlineLevel="0" collapsed="false">
      <c r="A12" s="1" t="s">
        <v>529</v>
      </c>
      <c r="B12" s="1" t="s">
        <v>530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2026-08-03T21:36:26Z</dcterms:created>
  <dc:creator>OpenAI</dc:creator>
  <dc:description/>
  <dc:language>en-US</dc:language>
  <cp:lastModifiedBy/>
  <dcterms:modified xsi:type="dcterms:W3CDTF">2026-08-03T23:27:32Z</dcterms:modified>
  <cp:revision>0</cp:revision>
  <dc:subject>Consolidated TrueSkill and Litkenhous post-offseason ratings by conference</dc:subject>
  <dc:title>2026 CFB Post-Offseason Ratings Master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